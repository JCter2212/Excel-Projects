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polem\Documents\Data Analyst\Excel\Data Analyst Projects\Bike Sales Excel Project\"/>
    </mc:Choice>
  </mc:AlternateContent>
  <xr:revisionPtr revIDLastSave="0" documentId="13_ncr:1_{D5D80999-3F7A-422F-AAC1-A4A8AD7247EA}" xr6:coauthVersionLast="47" xr6:coauthVersionMax="47" xr10:uidLastSave="{00000000-0000-0000-0000-000000000000}"/>
  <bookViews>
    <workbookView xWindow="-120" yWindow="-120" windowWidth="20730" windowHeight="11160" xr2:uid="{00000000-000D-0000-FFFF-FFFF00000000}"/>
  </bookViews>
  <sheets>
    <sheet name="Dashboard" sheetId="2" r:id="rId1"/>
    <sheet name="PTables" sheetId="3" state="hidden" r:id="rId2"/>
    <sheet name="Data (Cleaned)" sheetId="4" r:id="rId3"/>
    <sheet name="Data (Base)" sheetId="1" r:id="rId4"/>
  </sheets>
  <definedNames>
    <definedName name="_xlnm._FilterDatabase" localSheetId="3" hidden="1">'Data (Base)'!$A$1:$M$1027</definedName>
    <definedName name="_xlnm._FilterDatabase" localSheetId="2" hidden="1">'Data (Cleaned)'!$A$1:$N$1001</definedName>
    <definedName name="_xlcn.WorksheetConnection_ExcelProjectDataset.xlsxDataTable" hidden="1">DataTable[]</definedName>
    <definedName name="DataRange">'Data (Cleaned)'!$A$1:$N$1001</definedName>
    <definedName name="Slicer_Education">#N/A</definedName>
    <definedName name="Slicer_Marital_Status">#N/A</definedName>
    <definedName name="Slicer_Occupation">#N/A</definedName>
    <definedName name="Slicer_Region">#N/A</definedName>
  </definedNames>
  <calcPr calcId="191029"/>
  <pivotCaches>
    <pivotCache cacheId="0" r:id="rId5"/>
    <pivotCache cacheId="1" r:id="rId6"/>
    <pivotCache cacheId="2" r:id="rId7"/>
    <pivotCache cacheId="3" r:id="rId8"/>
    <pivotCache cacheId="4" r:id="rId9"/>
  </pivotCaches>
  <extLst>
    <ext xmlns:x14="http://schemas.microsoft.com/office/spreadsheetml/2009/9/main" uri="{876F7934-8845-4945-9796-88D515C7AA90}">
      <x14:pivotCaches>
        <pivotCache cacheId="5" r:id="rId10"/>
        <pivotCache cacheId="6"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ataTable" name="DataTable" connection="WorksheetConnection_Excel Project Dataset.xlsx!Data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a="1"/>
  <c r="M3" i="4" s="1"/>
  <c r="M4" i="4" a="1"/>
  <c r="M4" i="4" s="1"/>
  <c r="M5" i="4" a="1"/>
  <c r="M5" i="4" s="1"/>
  <c r="M6" i="4" a="1"/>
  <c r="M6" i="4" s="1"/>
  <c r="M7" i="4" a="1"/>
  <c r="M7" i="4" s="1"/>
  <c r="M8" i="4" a="1"/>
  <c r="M8" i="4" s="1"/>
  <c r="M9" i="4" a="1"/>
  <c r="M9" i="4" s="1"/>
  <c r="M10" i="4" a="1"/>
  <c r="M10" i="4" s="1"/>
  <c r="M11" i="4" a="1"/>
  <c r="M11" i="4" s="1"/>
  <c r="M12" i="4" a="1"/>
  <c r="M12" i="4" s="1"/>
  <c r="M13" i="4" a="1"/>
  <c r="M13" i="4" s="1"/>
  <c r="M14" i="4" a="1"/>
  <c r="M14" i="4" s="1"/>
  <c r="M15" i="4" a="1"/>
  <c r="M15" i="4" s="1"/>
  <c r="M16" i="4" a="1"/>
  <c r="M16" i="4" s="1"/>
  <c r="M17" i="4" a="1"/>
  <c r="M17" i="4" s="1"/>
  <c r="M18" i="4" a="1"/>
  <c r="M18" i="4" s="1"/>
  <c r="M19" i="4" a="1"/>
  <c r="M19" i="4" s="1"/>
  <c r="M20" i="4" a="1"/>
  <c r="M20" i="4"/>
  <c r="M21" i="4" a="1"/>
  <c r="M21" i="4" s="1"/>
  <c r="M22" i="4" a="1"/>
  <c r="M22" i="4"/>
  <c r="M23" i="4" a="1"/>
  <c r="M23" i="4" s="1"/>
  <c r="M24" i="4" a="1"/>
  <c r="M24" i="4" s="1"/>
  <c r="M25" i="4" a="1"/>
  <c r="M25" i="4" s="1"/>
  <c r="M26" i="4" a="1"/>
  <c r="M26" i="4" s="1"/>
  <c r="M27" i="4" a="1"/>
  <c r="M27" i="4" s="1"/>
  <c r="M28" i="4" a="1"/>
  <c r="M28" i="4"/>
  <c r="M29" i="4" a="1"/>
  <c r="M29" i="4" s="1"/>
  <c r="M30" i="4" a="1"/>
  <c r="M30" i="4" s="1"/>
  <c r="M31" i="4" a="1"/>
  <c r="M31" i="4" s="1"/>
  <c r="M32" i="4" a="1"/>
  <c r="M32" i="4" s="1"/>
  <c r="M33" i="4" a="1"/>
  <c r="M33" i="4" s="1"/>
  <c r="M34" i="4" a="1"/>
  <c r="M34" i="4" s="1"/>
  <c r="M35" i="4" a="1"/>
  <c r="M35" i="4" s="1"/>
  <c r="M36" i="4" a="1"/>
  <c r="M36" i="4" s="1"/>
  <c r="M37" i="4" a="1"/>
  <c r="M37" i="4" s="1"/>
  <c r="M38" i="4" a="1"/>
  <c r="M38" i="4"/>
  <c r="M39" i="4" a="1"/>
  <c r="M39" i="4" s="1"/>
  <c r="M40" i="4" a="1"/>
  <c r="M40" i="4" s="1"/>
  <c r="M41" i="4" a="1"/>
  <c r="M41" i="4" s="1"/>
  <c r="M42" i="4" a="1"/>
  <c r="M42" i="4" s="1"/>
  <c r="M43" i="4" a="1"/>
  <c r="M43" i="4" s="1"/>
  <c r="M44" i="4" a="1"/>
  <c r="M44" i="4" s="1"/>
  <c r="M45" i="4" a="1"/>
  <c r="M45" i="4" s="1"/>
  <c r="M46" i="4" a="1"/>
  <c r="M46" i="4"/>
  <c r="M47" i="4" a="1"/>
  <c r="M47" i="4" s="1"/>
  <c r="M48" i="4" a="1"/>
  <c r="M48" i="4" s="1"/>
  <c r="M49" i="4" a="1"/>
  <c r="M49" i="4" s="1"/>
  <c r="M50" i="4" a="1"/>
  <c r="M50" i="4" s="1"/>
  <c r="M51" i="4" a="1"/>
  <c r="M51" i="4" s="1"/>
  <c r="M52" i="4" a="1"/>
  <c r="M52" i="4" s="1"/>
  <c r="M53" i="4" a="1"/>
  <c r="M53" i="4" s="1"/>
  <c r="M54" i="4" a="1"/>
  <c r="M54" i="4"/>
  <c r="M55" i="4" a="1"/>
  <c r="M55" i="4" s="1"/>
  <c r="M56" i="4" a="1"/>
  <c r="M56" i="4" s="1"/>
  <c r="M57" i="4" a="1"/>
  <c r="M57" i="4" s="1"/>
  <c r="M58" i="4" a="1"/>
  <c r="M58" i="4" s="1"/>
  <c r="M59" i="4" a="1"/>
  <c r="M59" i="4" s="1"/>
  <c r="M60" i="4" a="1"/>
  <c r="M60" i="4" s="1"/>
  <c r="M61" i="4" a="1"/>
  <c r="M61" i="4" s="1"/>
  <c r="M62" i="4" a="1"/>
  <c r="M62" i="4"/>
  <c r="M63" i="4" a="1"/>
  <c r="M63" i="4" s="1"/>
  <c r="M64" i="4" a="1"/>
  <c r="M64" i="4" s="1"/>
  <c r="M65" i="4" a="1"/>
  <c r="M65" i="4" s="1"/>
  <c r="M66" i="4" a="1"/>
  <c r="M66" i="4" s="1"/>
  <c r="M67" i="4" a="1"/>
  <c r="M67" i="4" s="1"/>
  <c r="M68" i="4" a="1"/>
  <c r="M68" i="4"/>
  <c r="M69" i="4" a="1"/>
  <c r="M69" i="4" s="1"/>
  <c r="M70" i="4" a="1"/>
  <c r="M70" i="4" s="1"/>
  <c r="M71" i="4" a="1"/>
  <c r="M71" i="4" s="1"/>
  <c r="M72" i="4" a="1"/>
  <c r="M72" i="4" s="1"/>
  <c r="M73" i="4" a="1"/>
  <c r="M73" i="4" s="1"/>
  <c r="M74" i="4" a="1"/>
  <c r="M74" i="4"/>
  <c r="M75" i="4" a="1"/>
  <c r="M75" i="4" s="1"/>
  <c r="M76" i="4" a="1"/>
  <c r="M76" i="4" s="1"/>
  <c r="M77" i="4" a="1"/>
  <c r="M77" i="4" s="1"/>
  <c r="M78" i="4" a="1"/>
  <c r="M78" i="4"/>
  <c r="M79" i="4" a="1"/>
  <c r="M79" i="4" s="1"/>
  <c r="M80" i="4" a="1"/>
  <c r="M80" i="4" s="1"/>
  <c r="M81" i="4" a="1"/>
  <c r="M81" i="4" s="1"/>
  <c r="M82" i="4" a="1"/>
  <c r="M82" i="4" s="1"/>
  <c r="M83" i="4" a="1"/>
  <c r="M83" i="4" s="1"/>
  <c r="M84" i="4" a="1"/>
  <c r="M84" i="4"/>
  <c r="M85" i="4" a="1"/>
  <c r="M85" i="4" s="1"/>
  <c r="M86" i="4" a="1"/>
  <c r="M86" i="4" s="1"/>
  <c r="M87" i="4" a="1"/>
  <c r="M87" i="4" s="1"/>
  <c r="M88" i="4" a="1"/>
  <c r="M88" i="4" s="1"/>
  <c r="M89" i="4" a="1"/>
  <c r="M89" i="4" s="1"/>
  <c r="M90" i="4" a="1"/>
  <c r="M90" i="4" s="1"/>
  <c r="M91" i="4" a="1"/>
  <c r="M91" i="4" s="1"/>
  <c r="M92" i="4" a="1"/>
  <c r="M92" i="4" s="1"/>
  <c r="M93" i="4" a="1"/>
  <c r="M93" i="4" s="1"/>
  <c r="M94" i="4" a="1"/>
  <c r="M94" i="4"/>
  <c r="M95" i="4" a="1"/>
  <c r="M95" i="4" s="1"/>
  <c r="M96" i="4" a="1"/>
  <c r="M96" i="4" s="1"/>
  <c r="M97" i="4" a="1"/>
  <c r="M97" i="4" s="1"/>
  <c r="M98" i="4" a="1"/>
  <c r="M98" i="4" s="1"/>
  <c r="M99" i="4" a="1"/>
  <c r="M99" i="4" s="1"/>
  <c r="M100" i="4" a="1"/>
  <c r="M100" i="4"/>
  <c r="M101" i="4" a="1"/>
  <c r="M101" i="4" s="1"/>
  <c r="M102" i="4" a="1"/>
  <c r="M102" i="4" s="1"/>
  <c r="M103" i="4" a="1"/>
  <c r="M103" i="4" s="1"/>
  <c r="M104" i="4" a="1"/>
  <c r="M104" i="4" s="1"/>
  <c r="M105" i="4" a="1"/>
  <c r="M105" i="4" s="1"/>
  <c r="M106" i="4" a="1"/>
  <c r="M106" i="4"/>
  <c r="M107" i="4" a="1"/>
  <c r="M107" i="4" s="1"/>
  <c r="M108" i="4" a="1"/>
  <c r="M108" i="4" s="1"/>
  <c r="M109" i="4" a="1"/>
  <c r="M109" i="4" s="1"/>
  <c r="M110" i="4" a="1"/>
  <c r="M110" i="4"/>
  <c r="M111" i="4" a="1"/>
  <c r="M111" i="4" s="1"/>
  <c r="M112" i="4" a="1"/>
  <c r="M112" i="4" s="1"/>
  <c r="M113" i="4" a="1"/>
  <c r="M113" i="4" s="1"/>
  <c r="M114" i="4" a="1"/>
  <c r="M114" i="4" s="1"/>
  <c r="M115" i="4" a="1"/>
  <c r="M115" i="4" s="1"/>
  <c r="M116" i="4" a="1"/>
  <c r="M116" i="4"/>
  <c r="M117" i="4" a="1"/>
  <c r="M117" i="4" s="1"/>
  <c r="M118" i="4" a="1"/>
  <c r="M118" i="4" s="1"/>
  <c r="M119" i="4" a="1"/>
  <c r="M119" i="4" s="1"/>
  <c r="M120" i="4" a="1"/>
  <c r="M120" i="4" s="1"/>
  <c r="M121" i="4" a="1"/>
  <c r="M121" i="4" s="1"/>
  <c r="M122" i="4" a="1"/>
  <c r="M122" i="4" s="1"/>
  <c r="M123" i="4" a="1"/>
  <c r="M123" i="4" s="1"/>
  <c r="M124" i="4" a="1"/>
  <c r="M124" i="4"/>
  <c r="M125" i="4" a="1"/>
  <c r="M125" i="4" s="1"/>
  <c r="M126" i="4" a="1"/>
  <c r="M126" i="4" s="1"/>
  <c r="M127" i="4" a="1"/>
  <c r="M127" i="4" s="1"/>
  <c r="M128" i="4" a="1"/>
  <c r="M128" i="4" s="1"/>
  <c r="M129" i="4" a="1"/>
  <c r="M129" i="4" s="1"/>
  <c r="M130" i="4" a="1"/>
  <c r="M130" i="4"/>
  <c r="M131" i="4" a="1"/>
  <c r="M131" i="4" s="1"/>
  <c r="M132" i="4" a="1"/>
  <c r="M132" i="4" s="1"/>
  <c r="M133" i="4" a="1"/>
  <c r="M133" i="4" s="1"/>
  <c r="M134" i="4" a="1"/>
  <c r="M134" i="4"/>
  <c r="M135" i="4" a="1"/>
  <c r="M135" i="4" s="1"/>
  <c r="M136" i="4" a="1"/>
  <c r="M136" i="4" s="1"/>
  <c r="M137" i="4" a="1"/>
  <c r="M137" i="4" s="1"/>
  <c r="M138" i="4" a="1"/>
  <c r="M138" i="4" s="1"/>
  <c r="M139" i="4" a="1"/>
  <c r="M139" i="4" s="1"/>
  <c r="M140" i="4" a="1"/>
  <c r="M140" i="4"/>
  <c r="M141" i="4" a="1"/>
  <c r="M141" i="4" s="1"/>
  <c r="M142" i="4" a="1"/>
  <c r="M142" i="4"/>
  <c r="M143" i="4" a="1"/>
  <c r="M143" i="4" s="1"/>
  <c r="M144" i="4" a="1"/>
  <c r="M144" i="4" s="1"/>
  <c r="M145" i="4" a="1"/>
  <c r="M145" i="4" s="1"/>
  <c r="M146" i="4" a="1"/>
  <c r="M146" i="4"/>
  <c r="M147" i="4" a="1"/>
  <c r="M147" i="4" s="1"/>
  <c r="M148" i="4" a="1"/>
  <c r="M148" i="4"/>
  <c r="M149" i="4" a="1"/>
  <c r="M149" i="4" s="1"/>
  <c r="M150" i="4" a="1"/>
  <c r="M150" i="4" s="1"/>
  <c r="M151" i="4" a="1"/>
  <c r="M151" i="4" s="1"/>
  <c r="M152" i="4" a="1"/>
  <c r="M152" i="4" s="1"/>
  <c r="M153" i="4" a="1"/>
  <c r="M153" i="4" s="1"/>
  <c r="M154" i="4" a="1"/>
  <c r="M154" i="4" s="1"/>
  <c r="M155" i="4" a="1"/>
  <c r="M155" i="4" s="1"/>
  <c r="M156" i="4" a="1"/>
  <c r="M156" i="4" s="1"/>
  <c r="M157" i="4" a="1"/>
  <c r="M157" i="4" s="1"/>
  <c r="M158" i="4" a="1"/>
  <c r="M158" i="4"/>
  <c r="M159" i="4" a="1"/>
  <c r="M159" i="4" s="1"/>
  <c r="M160" i="4" a="1"/>
  <c r="M160" i="4" s="1"/>
  <c r="M161" i="4" a="1"/>
  <c r="M161" i="4" s="1"/>
  <c r="M162" i="4" a="1"/>
  <c r="M162" i="4" s="1"/>
  <c r="M163" i="4" a="1"/>
  <c r="M163" i="4" s="1"/>
  <c r="M164" i="4" a="1"/>
  <c r="M164" i="4" s="1"/>
  <c r="M165" i="4" a="1"/>
  <c r="M165" i="4" s="1"/>
  <c r="M166" i="4" a="1"/>
  <c r="M166" i="4" s="1"/>
  <c r="M167" i="4" a="1"/>
  <c r="M167" i="4" s="1"/>
  <c r="M168" i="4" a="1"/>
  <c r="M168" i="4" s="1"/>
  <c r="M169" i="4" a="1"/>
  <c r="M169" i="4" s="1"/>
  <c r="M170" i="4" a="1"/>
  <c r="M170" i="4"/>
  <c r="M171" i="4" a="1"/>
  <c r="M171" i="4" s="1"/>
  <c r="M172" i="4" a="1"/>
  <c r="M172" i="4"/>
  <c r="M173" i="4" a="1"/>
  <c r="M173" i="4" s="1"/>
  <c r="M174" i="4" a="1"/>
  <c r="M174" i="4" s="1"/>
  <c r="M175" i="4" a="1"/>
  <c r="M175" i="4" s="1"/>
  <c r="M176" i="4" a="1"/>
  <c r="M176" i="4"/>
  <c r="M177" i="4" a="1"/>
  <c r="M177" i="4" s="1"/>
  <c r="M178" i="4" a="1"/>
  <c r="M178" i="4"/>
  <c r="M179" i="4" a="1"/>
  <c r="M179" i="4" s="1"/>
  <c r="M180" i="4" a="1"/>
  <c r="M180" i="4"/>
  <c r="M181" i="4" a="1"/>
  <c r="M181" i="4" s="1"/>
  <c r="M182" i="4" a="1"/>
  <c r="M182" i="4" s="1"/>
  <c r="M183" i="4" a="1"/>
  <c r="M183" i="4" s="1"/>
  <c r="M184" i="4" a="1"/>
  <c r="M184" i="4"/>
  <c r="M185" i="4" a="1"/>
  <c r="M185" i="4" s="1"/>
  <c r="M186" i="4" a="1"/>
  <c r="M186" i="4"/>
  <c r="M187" i="4" a="1"/>
  <c r="M187" i="4" s="1"/>
  <c r="M188" i="4" a="1"/>
  <c r="M188" i="4" s="1"/>
  <c r="M189" i="4" a="1"/>
  <c r="M189" i="4" s="1"/>
  <c r="M190" i="4" a="1"/>
  <c r="M190" i="4"/>
  <c r="M191" i="4" a="1"/>
  <c r="M191" i="4" s="1"/>
  <c r="M192" i="4" a="1"/>
  <c r="M192" i="4"/>
  <c r="M193" i="4" a="1"/>
  <c r="M193" i="4" s="1"/>
  <c r="M194" i="4" a="1"/>
  <c r="M194" i="4" s="1"/>
  <c r="M195" i="4" a="1"/>
  <c r="M195" i="4" s="1"/>
  <c r="M196" i="4" a="1"/>
  <c r="M196" i="4" s="1"/>
  <c r="M197" i="4" a="1"/>
  <c r="M197" i="4" s="1"/>
  <c r="M198" i="4" a="1"/>
  <c r="M198" i="4" s="1"/>
  <c r="M199" i="4" a="1"/>
  <c r="M199" i="4" s="1"/>
  <c r="M200" i="4" a="1"/>
  <c r="M200" i="4" s="1"/>
  <c r="M201" i="4" a="1"/>
  <c r="M201" i="4" s="1"/>
  <c r="M202" i="4" a="1"/>
  <c r="M202" i="4"/>
  <c r="M203" i="4" a="1"/>
  <c r="M203" i="4" s="1"/>
  <c r="M204" i="4" a="1"/>
  <c r="M204" i="4" s="1"/>
  <c r="M205" i="4" a="1"/>
  <c r="M205" i="4" s="1"/>
  <c r="M206" i="4" a="1"/>
  <c r="M206" i="4" s="1"/>
  <c r="M207" i="4" a="1"/>
  <c r="M207" i="4" s="1"/>
  <c r="M208" i="4" a="1"/>
  <c r="M208" i="4" s="1"/>
  <c r="M209" i="4" a="1"/>
  <c r="M209" i="4" s="1"/>
  <c r="M210" i="4" a="1"/>
  <c r="M210" i="4"/>
  <c r="M211" i="4" a="1"/>
  <c r="M211" i="4" s="1"/>
  <c r="M212" i="4" a="1"/>
  <c r="M212" i="4" s="1"/>
  <c r="M213" i="4" a="1"/>
  <c r="M213" i="4" s="1"/>
  <c r="M214" i="4" a="1"/>
  <c r="M214" i="4" s="1"/>
  <c r="M215" i="4" a="1"/>
  <c r="M215" i="4" s="1"/>
  <c r="M216" i="4" a="1"/>
  <c r="M216" i="4"/>
  <c r="M217" i="4" a="1"/>
  <c r="M217" i="4" s="1"/>
  <c r="M218" i="4" a="1"/>
  <c r="M218" i="4" s="1"/>
  <c r="M219" i="4" a="1"/>
  <c r="M219" i="4" s="1"/>
  <c r="M220" i="4" a="1"/>
  <c r="M220" i="4" s="1"/>
  <c r="M221" i="4" a="1"/>
  <c r="M221" i="4" s="1"/>
  <c r="M222" i="4" a="1"/>
  <c r="M222" i="4" s="1"/>
  <c r="M223" i="4" a="1"/>
  <c r="M223" i="4" s="1"/>
  <c r="M224" i="4" a="1"/>
  <c r="M224" i="4" s="1"/>
  <c r="M225" i="4" a="1"/>
  <c r="M225" i="4" s="1"/>
  <c r="M226" i="4" a="1"/>
  <c r="M226" i="4" s="1"/>
  <c r="M227" i="4" a="1"/>
  <c r="M227" i="4" s="1"/>
  <c r="M228" i="4" a="1"/>
  <c r="M228" i="4" s="1"/>
  <c r="M229" i="4" a="1"/>
  <c r="M229" i="4" s="1"/>
  <c r="M230" i="4" a="1"/>
  <c r="M230" i="4"/>
  <c r="M231" i="4" a="1"/>
  <c r="M231" i="4" s="1"/>
  <c r="M232" i="4" a="1"/>
  <c r="M232" i="4"/>
  <c r="M233" i="4" a="1"/>
  <c r="M233" i="4" s="1"/>
  <c r="M234" i="4" a="1"/>
  <c r="M234" i="4" s="1"/>
  <c r="M235" i="4" a="1"/>
  <c r="M235" i="4" s="1"/>
  <c r="M236" i="4" a="1"/>
  <c r="M236" i="4" s="1"/>
  <c r="M237" i="4" a="1"/>
  <c r="M237" i="4" s="1"/>
  <c r="M238" i="4" a="1"/>
  <c r="M238" i="4" s="1"/>
  <c r="M239" i="4" a="1"/>
  <c r="M239" i="4" s="1"/>
  <c r="M240" i="4" a="1"/>
  <c r="M240" i="4"/>
  <c r="M241" i="4" a="1"/>
  <c r="M241" i="4" s="1"/>
  <c r="M242" i="4" a="1"/>
  <c r="M242" i="4" s="1"/>
  <c r="M243" i="4" a="1"/>
  <c r="M243" i="4" s="1"/>
  <c r="M244" i="4" a="1"/>
  <c r="M244" i="4" s="1"/>
  <c r="M245" i="4" a="1"/>
  <c r="M245" i="4" s="1"/>
  <c r="M246" i="4" a="1"/>
  <c r="M246" i="4"/>
  <c r="M247" i="4" a="1"/>
  <c r="M247" i="4" s="1"/>
  <c r="M248" i="4" a="1"/>
  <c r="M248" i="4" s="1"/>
  <c r="M249" i="4" a="1"/>
  <c r="M249" i="4" s="1"/>
  <c r="M250" i="4" a="1"/>
  <c r="M250" i="4" s="1"/>
  <c r="M251" i="4" a="1"/>
  <c r="M251" i="4" s="1"/>
  <c r="M252" i="4" a="1"/>
  <c r="M252" i="4" s="1"/>
  <c r="M253" i="4" a="1"/>
  <c r="M253" i="4" s="1"/>
  <c r="M254" i="4" a="1"/>
  <c r="M254" i="4" s="1"/>
  <c r="M255" i="4" a="1"/>
  <c r="M255" i="4" s="1"/>
  <c r="M256" i="4" a="1"/>
  <c r="M256" i="4"/>
  <c r="M257" i="4" a="1"/>
  <c r="M257" i="4" s="1"/>
  <c r="M258" i="4" a="1"/>
  <c r="M258" i="4" s="1"/>
  <c r="M259" i="4" a="1"/>
  <c r="M259" i="4" s="1"/>
  <c r="M260" i="4" a="1"/>
  <c r="M260" i="4" s="1"/>
  <c r="M261" i="4" a="1"/>
  <c r="M261" i="4" s="1"/>
  <c r="M262" i="4" a="1"/>
  <c r="M262" i="4" s="1"/>
  <c r="M263" i="4" a="1"/>
  <c r="M263" i="4" s="1"/>
  <c r="M264" i="4" a="1"/>
  <c r="M264" i="4"/>
  <c r="M265" i="4" a="1"/>
  <c r="M265" i="4" s="1"/>
  <c r="M266" i="4" a="1"/>
  <c r="M266" i="4" s="1"/>
  <c r="M267" i="4" a="1"/>
  <c r="M267" i="4" s="1"/>
  <c r="M268" i="4" a="1"/>
  <c r="M268" i="4" s="1"/>
  <c r="M269" i="4" a="1"/>
  <c r="M269" i="4" s="1"/>
  <c r="M270" i="4" a="1"/>
  <c r="M270" i="4" s="1"/>
  <c r="M271" i="4" a="1"/>
  <c r="M271" i="4" s="1"/>
  <c r="M272" i="4" a="1"/>
  <c r="M272" i="4" s="1"/>
  <c r="M273" i="4" a="1"/>
  <c r="M273" i="4" s="1"/>
  <c r="M274" i="4" a="1"/>
  <c r="M274" i="4" s="1"/>
  <c r="M275" i="4" a="1"/>
  <c r="M275" i="4" s="1"/>
  <c r="M276" i="4" a="1"/>
  <c r="M276" i="4" s="1"/>
  <c r="M277" i="4" a="1"/>
  <c r="M277" i="4" s="1"/>
  <c r="M278" i="4" a="1"/>
  <c r="M278" i="4"/>
  <c r="M279" i="4" a="1"/>
  <c r="M279" i="4" s="1"/>
  <c r="M280" i="4" a="1"/>
  <c r="M280" i="4" s="1"/>
  <c r="M281" i="4" a="1"/>
  <c r="M281" i="4" s="1"/>
  <c r="M282" i="4" a="1"/>
  <c r="M282" i="4" s="1"/>
  <c r="M283" i="4" a="1"/>
  <c r="M283" i="4" s="1"/>
  <c r="M284" i="4" a="1"/>
  <c r="M284" i="4" s="1"/>
  <c r="M285" i="4" a="1"/>
  <c r="M285" i="4" s="1"/>
  <c r="M286" i="4" a="1"/>
  <c r="M286" i="4" s="1"/>
  <c r="M287" i="4" a="1"/>
  <c r="M287" i="4" s="1"/>
  <c r="M288" i="4" a="1"/>
  <c r="M288" i="4"/>
  <c r="M289" i="4" a="1"/>
  <c r="M289" i="4" s="1"/>
  <c r="M290" i="4" a="1"/>
  <c r="M290" i="4" s="1"/>
  <c r="M291" i="4" a="1"/>
  <c r="M291" i="4" s="1"/>
  <c r="M292" i="4" a="1"/>
  <c r="M292" i="4" s="1"/>
  <c r="M293" i="4" a="1"/>
  <c r="M293" i="4" s="1"/>
  <c r="M294" i="4" a="1"/>
  <c r="M294" i="4" s="1"/>
  <c r="M295" i="4" a="1"/>
  <c r="M295" i="4" s="1"/>
  <c r="M296" i="4" a="1"/>
  <c r="M296" i="4"/>
  <c r="M297" i="4" a="1"/>
  <c r="M297" i="4" s="1"/>
  <c r="M298" i="4" a="1"/>
  <c r="M298" i="4" s="1"/>
  <c r="M299" i="4" a="1"/>
  <c r="M299" i="4" s="1"/>
  <c r="M300" i="4" a="1"/>
  <c r="M300" i="4" s="1"/>
  <c r="M301" i="4" a="1"/>
  <c r="M301" i="4"/>
  <c r="M302" i="4" a="1"/>
  <c r="M302" i="4" s="1"/>
  <c r="M303" i="4" a="1"/>
  <c r="M303" i="4" s="1"/>
  <c r="M304" i="4" a="1"/>
  <c r="M304" i="4" s="1"/>
  <c r="M305" i="4" a="1"/>
  <c r="M305" i="4"/>
  <c r="M306" i="4" a="1"/>
  <c r="M306" i="4" s="1"/>
  <c r="M307" i="4" a="1"/>
  <c r="M307" i="4" s="1"/>
  <c r="M308" i="4" a="1"/>
  <c r="M308" i="4" s="1"/>
  <c r="M309" i="4" a="1"/>
  <c r="M309" i="4" s="1"/>
  <c r="M310" i="4" a="1"/>
  <c r="M310" i="4" s="1"/>
  <c r="M311" i="4" a="1"/>
  <c r="M311" i="4"/>
  <c r="M312" i="4" a="1"/>
  <c r="M312" i="4" s="1"/>
  <c r="M313" i="4" a="1"/>
  <c r="M313" i="4"/>
  <c r="M314" i="4" a="1"/>
  <c r="M314" i="4" s="1"/>
  <c r="M315" i="4" a="1"/>
  <c r="M315" i="4" s="1"/>
  <c r="M316" i="4" a="1"/>
  <c r="M316" i="4" s="1"/>
  <c r="M317" i="4" a="1"/>
  <c r="M317" i="4"/>
  <c r="M318" i="4" a="1"/>
  <c r="M318" i="4" s="1"/>
  <c r="M319" i="4" a="1"/>
  <c r="M319" i="4"/>
  <c r="M320" i="4" a="1"/>
  <c r="M320" i="4" s="1"/>
  <c r="M321" i="4" a="1"/>
  <c r="M321" i="4"/>
  <c r="M322" i="4" a="1"/>
  <c r="M322" i="4" s="1"/>
  <c r="M323" i="4" a="1"/>
  <c r="M323" i="4" s="1"/>
  <c r="M324" i="4" a="1"/>
  <c r="M324" i="4" s="1"/>
  <c r="M325" i="4" a="1"/>
  <c r="M325" i="4"/>
  <c r="M326" i="4" a="1"/>
  <c r="M326" i="4" s="1"/>
  <c r="M327" i="4" a="1"/>
  <c r="M327" i="4"/>
  <c r="M328" i="4" a="1"/>
  <c r="M328" i="4" s="1"/>
  <c r="M329" i="4" a="1"/>
  <c r="M329" i="4" s="1"/>
  <c r="M330" i="4" a="1"/>
  <c r="M330" i="4" s="1"/>
  <c r="M331" i="4" a="1"/>
  <c r="M331" i="4" s="1"/>
  <c r="M332" i="4" a="1"/>
  <c r="M332" i="4" s="1"/>
  <c r="M333" i="4" a="1"/>
  <c r="M333" i="4"/>
  <c r="M334" i="4" a="1"/>
  <c r="M334" i="4" s="1"/>
  <c r="M335" i="4" a="1"/>
  <c r="M335" i="4" s="1"/>
  <c r="M336" i="4" a="1"/>
  <c r="M336" i="4" s="1"/>
  <c r="M337" i="4" a="1"/>
  <c r="M337" i="4" s="1"/>
  <c r="M338" i="4" a="1"/>
  <c r="M338" i="4" s="1"/>
  <c r="M339" i="4" a="1"/>
  <c r="M339" i="4" s="1"/>
  <c r="M340" i="4" a="1"/>
  <c r="M340" i="4" s="1"/>
  <c r="M341" i="4" a="1"/>
  <c r="M341" i="4"/>
  <c r="M342" i="4" a="1"/>
  <c r="M342" i="4" s="1"/>
  <c r="M343" i="4" a="1"/>
  <c r="M343" i="4" s="1"/>
  <c r="M344" i="4" a="1"/>
  <c r="M344" i="4" s="1"/>
  <c r="M345" i="4" a="1"/>
  <c r="M345" i="4" s="1"/>
  <c r="M346" i="4" a="1"/>
  <c r="M346" i="4" s="1"/>
  <c r="M347" i="4" a="1"/>
  <c r="M347" i="4" s="1"/>
  <c r="M348" i="4" a="1"/>
  <c r="M348" i="4" s="1"/>
  <c r="M349" i="4" a="1"/>
  <c r="M349" i="4" s="1"/>
  <c r="M350" i="4" a="1"/>
  <c r="M350" i="4" s="1"/>
  <c r="M351" i="4" a="1"/>
  <c r="M351" i="4"/>
  <c r="M352" i="4" a="1"/>
  <c r="M352" i="4" s="1"/>
  <c r="M353" i="4" a="1"/>
  <c r="M353" i="4"/>
  <c r="M354" i="4" a="1"/>
  <c r="M354" i="4" s="1"/>
  <c r="M355" i="4" a="1"/>
  <c r="M355" i="4" s="1"/>
  <c r="M356" i="4" a="1"/>
  <c r="M356" i="4" s="1"/>
  <c r="M357" i="4" a="1"/>
  <c r="M357" i="4" s="1"/>
  <c r="M358" i="4" a="1"/>
  <c r="M358" i="4" s="1"/>
  <c r="M359" i="4" a="1"/>
  <c r="M359" i="4"/>
  <c r="M360" i="4" a="1"/>
  <c r="M360" i="4" s="1"/>
  <c r="M361" i="4" a="1"/>
  <c r="M361" i="4" s="1"/>
  <c r="M362" i="4" a="1"/>
  <c r="M362" i="4" s="1"/>
  <c r="M363" i="4" a="1"/>
  <c r="M363" i="4" s="1"/>
  <c r="M364" i="4" a="1"/>
  <c r="M364" i="4" s="1"/>
  <c r="M365" i="4" a="1"/>
  <c r="M365" i="4" s="1"/>
  <c r="M366" i="4" a="1"/>
  <c r="M366" i="4" s="1"/>
  <c r="M367" i="4" a="1"/>
  <c r="M367" i="4" s="1"/>
  <c r="M368" i="4" a="1"/>
  <c r="M368" i="4" s="1"/>
  <c r="M369" i="4" a="1"/>
  <c r="M369" i="4"/>
  <c r="M370" i="4" a="1"/>
  <c r="M370" i="4" s="1"/>
  <c r="M371" i="4" a="1"/>
  <c r="M371" i="4" s="1"/>
  <c r="M372" i="4" a="1"/>
  <c r="M372" i="4" s="1"/>
  <c r="M373" i="4" a="1"/>
  <c r="M373" i="4" s="1"/>
  <c r="M374" i="4" a="1"/>
  <c r="M374" i="4" s="1"/>
  <c r="M375" i="4" a="1"/>
  <c r="M375" i="4" s="1"/>
  <c r="M376" i="4" a="1"/>
  <c r="M376" i="4" s="1"/>
  <c r="M377" i="4" a="1"/>
  <c r="M377" i="4"/>
  <c r="M378" i="4" a="1"/>
  <c r="M378" i="4" s="1"/>
  <c r="M379" i="4" a="1"/>
  <c r="M379" i="4" s="1"/>
  <c r="M380" i="4" a="1"/>
  <c r="M380" i="4" s="1"/>
  <c r="M381" i="4" a="1"/>
  <c r="M381" i="4" s="1"/>
  <c r="M382" i="4" a="1"/>
  <c r="M382" i="4" s="1"/>
  <c r="M383" i="4" a="1"/>
  <c r="M383" i="4"/>
  <c r="M384" i="4" a="1"/>
  <c r="M384" i="4" s="1"/>
  <c r="M385" i="4" a="1"/>
  <c r="M385" i="4"/>
  <c r="M386" i="4" a="1"/>
  <c r="M386" i="4" s="1"/>
  <c r="M387" i="4" a="1"/>
  <c r="M387" i="4" s="1"/>
  <c r="M388" i="4" a="1"/>
  <c r="M388" i="4" s="1"/>
  <c r="M389" i="4" a="1"/>
  <c r="M389" i="4" s="1"/>
  <c r="M390" i="4" a="1"/>
  <c r="M390" i="4" s="1"/>
  <c r="M391" i="4" a="1"/>
  <c r="M391" i="4" s="1"/>
  <c r="M392" i="4" a="1"/>
  <c r="M392" i="4" s="1"/>
  <c r="M393" i="4" a="1"/>
  <c r="M393" i="4"/>
  <c r="M394" i="4" a="1"/>
  <c r="M394" i="4" s="1"/>
  <c r="M395" i="4" a="1"/>
  <c r="M395" i="4" s="1"/>
  <c r="M396" i="4" a="1"/>
  <c r="M396" i="4" s="1"/>
  <c r="M397" i="4" a="1"/>
  <c r="M397" i="4" s="1"/>
  <c r="M398" i="4" a="1"/>
  <c r="M398" i="4" s="1"/>
  <c r="M399" i="4" a="1"/>
  <c r="M399" i="4"/>
  <c r="M400" i="4" a="1"/>
  <c r="M400" i="4" s="1"/>
  <c r="M401" i="4" a="1"/>
  <c r="M401" i="4"/>
  <c r="M402" i="4" a="1"/>
  <c r="M402" i="4" s="1"/>
  <c r="M403" i="4" a="1"/>
  <c r="M403" i="4" s="1"/>
  <c r="M404" i="4" a="1"/>
  <c r="M404" i="4" s="1"/>
  <c r="M405" i="4" a="1"/>
  <c r="M405" i="4"/>
  <c r="M406" i="4" a="1"/>
  <c r="M406" i="4" s="1"/>
  <c r="M407" i="4" a="1"/>
  <c r="M407" i="4"/>
  <c r="M408" i="4" a="1"/>
  <c r="M408" i="4" s="1"/>
  <c r="M409" i="4" a="1"/>
  <c r="M409" i="4" s="1"/>
  <c r="M410" i="4" a="1"/>
  <c r="M410" i="4" s="1"/>
  <c r="M411" i="4" a="1"/>
  <c r="M411" i="4" s="1"/>
  <c r="M412" i="4" a="1"/>
  <c r="M412" i="4" s="1"/>
  <c r="M413" i="4" a="1"/>
  <c r="M413" i="4"/>
  <c r="M414" i="4" a="1"/>
  <c r="M414" i="4" s="1"/>
  <c r="M415" i="4" a="1"/>
  <c r="M415" i="4" s="1"/>
  <c r="M416" i="4" a="1"/>
  <c r="M416" i="4" s="1"/>
  <c r="M417" i="4" a="1"/>
  <c r="M417" i="4" s="1"/>
  <c r="M418" i="4" a="1"/>
  <c r="M418" i="4" s="1"/>
  <c r="M419" i="4" a="1"/>
  <c r="M419" i="4" s="1"/>
  <c r="M420" i="4" a="1"/>
  <c r="M420" i="4" s="1"/>
  <c r="M421" i="4" a="1"/>
  <c r="M421" i="4" s="1"/>
  <c r="M422" i="4" a="1"/>
  <c r="M422" i="4" s="1"/>
  <c r="M423" i="4" a="1"/>
  <c r="M423" i="4"/>
  <c r="M424" i="4" a="1"/>
  <c r="M424" i="4" s="1"/>
  <c r="M425" i="4" a="1"/>
  <c r="M425" i="4" s="1"/>
  <c r="M426" i="4" a="1"/>
  <c r="M426" i="4" s="1"/>
  <c r="M427" i="4" a="1"/>
  <c r="M427" i="4" s="1"/>
  <c r="M428" i="4" a="1"/>
  <c r="M428" i="4" s="1"/>
  <c r="M429" i="4" a="1"/>
  <c r="M429" i="4"/>
  <c r="M430" i="4" a="1"/>
  <c r="M430" i="4" s="1"/>
  <c r="M431" i="4" a="1"/>
  <c r="M431" i="4" s="1"/>
  <c r="M432" i="4" a="1"/>
  <c r="M432" i="4" s="1"/>
  <c r="M433" i="4" a="1"/>
  <c r="M433" i="4"/>
  <c r="M434" i="4" a="1"/>
  <c r="M434" i="4" s="1"/>
  <c r="M435" i="4" a="1"/>
  <c r="M435" i="4" s="1"/>
  <c r="M436" i="4" a="1"/>
  <c r="M436" i="4" s="1"/>
  <c r="M437" i="4" a="1"/>
  <c r="M437" i="4" s="1"/>
  <c r="M438" i="4" a="1"/>
  <c r="M438" i="4" s="1"/>
  <c r="M439" i="4" a="1"/>
  <c r="M439" i="4"/>
  <c r="M440" i="4" a="1"/>
  <c r="M440" i="4" s="1"/>
  <c r="M441" i="4" a="1"/>
  <c r="M441" i="4" s="1"/>
  <c r="M442" i="4" a="1"/>
  <c r="M442" i="4" s="1"/>
  <c r="M443" i="4" a="1"/>
  <c r="M443" i="4" s="1"/>
  <c r="M444" i="4" a="1"/>
  <c r="M444" i="4" s="1"/>
  <c r="M445" i="4" a="1"/>
  <c r="M445" i="4"/>
  <c r="M446" i="4" a="1"/>
  <c r="M446" i="4" s="1"/>
  <c r="M447" i="4" a="1"/>
  <c r="M447" i="4" s="1"/>
  <c r="M448" i="4" a="1"/>
  <c r="M448" i="4" s="1"/>
  <c r="M449" i="4" a="1"/>
  <c r="M449" i="4"/>
  <c r="M450" i="4" a="1"/>
  <c r="M450" i="4" s="1"/>
  <c r="M451" i="4" a="1"/>
  <c r="M451" i="4" s="1"/>
  <c r="M452" i="4" a="1"/>
  <c r="M452" i="4" s="1"/>
  <c r="M453" i="4" a="1"/>
  <c r="M453" i="4" s="1"/>
  <c r="M454" i="4" a="1"/>
  <c r="M454" i="4" s="1"/>
  <c r="M455" i="4" a="1"/>
  <c r="M455" i="4"/>
  <c r="M456" i="4" a="1"/>
  <c r="M456" i="4" s="1"/>
  <c r="M457" i="4" a="1"/>
  <c r="M457" i="4"/>
  <c r="M458" i="4" a="1"/>
  <c r="M458" i="4" s="1"/>
  <c r="M459" i="4" a="1"/>
  <c r="M459" i="4" s="1"/>
  <c r="M460" i="4" a="1"/>
  <c r="M460" i="4" s="1"/>
  <c r="M461" i="4" a="1"/>
  <c r="M461" i="4"/>
  <c r="M462" i="4" a="1"/>
  <c r="M462" i="4" s="1"/>
  <c r="M463" i="4" a="1"/>
  <c r="M463" i="4"/>
  <c r="M464" i="4" a="1"/>
  <c r="M464" i="4" s="1"/>
  <c r="M465" i="4" a="1"/>
  <c r="M465" i="4" s="1"/>
  <c r="M466" i="4" a="1"/>
  <c r="M466" i="4" s="1"/>
  <c r="M467" i="4" a="1"/>
  <c r="M467" i="4" s="1"/>
  <c r="M468" i="4" a="1"/>
  <c r="M468" i="4" s="1"/>
  <c r="M469" i="4" a="1"/>
  <c r="M469" i="4" s="1"/>
  <c r="M470" i="4" a="1"/>
  <c r="M470" i="4" s="1"/>
  <c r="M471" i="4" a="1"/>
  <c r="M471" i="4" s="1"/>
  <c r="M472" i="4" a="1"/>
  <c r="M472" i="4" s="1"/>
  <c r="M473" i="4" a="1"/>
  <c r="M473" i="4"/>
  <c r="M474" i="4" a="1"/>
  <c r="M474" i="4" s="1"/>
  <c r="M475" i="4" a="1"/>
  <c r="M475" i="4" s="1"/>
  <c r="M476" i="4" a="1"/>
  <c r="M476" i="4" s="1"/>
  <c r="M477" i="4" a="1"/>
  <c r="M477" i="4" s="1"/>
  <c r="M478" i="4" a="1"/>
  <c r="M478" i="4" s="1"/>
  <c r="M479" i="4" a="1"/>
  <c r="M479" i="4" s="1"/>
  <c r="M480" i="4" a="1"/>
  <c r="M480" i="4" s="1"/>
  <c r="M481" i="4" a="1"/>
  <c r="M481" i="4"/>
  <c r="M482" i="4" a="1"/>
  <c r="M482" i="4" s="1"/>
  <c r="M483" i="4" a="1"/>
  <c r="M483" i="4" s="1"/>
  <c r="M484" i="4" a="1"/>
  <c r="M484" i="4" s="1"/>
  <c r="M485" i="4" a="1"/>
  <c r="M485" i="4" s="1"/>
  <c r="M486" i="4" a="1"/>
  <c r="M486" i="4" s="1"/>
  <c r="M487" i="4" a="1"/>
  <c r="M487" i="4"/>
  <c r="M488" i="4" a="1"/>
  <c r="M488" i="4" s="1"/>
  <c r="M489" i="4" a="1"/>
  <c r="M489" i="4" s="1"/>
  <c r="M490" i="4" a="1"/>
  <c r="M490" i="4" s="1"/>
  <c r="M491" i="4" a="1"/>
  <c r="M491" i="4" s="1"/>
  <c r="M492" i="4" a="1"/>
  <c r="M492" i="4" s="1"/>
  <c r="M493" i="4" a="1"/>
  <c r="M493" i="4"/>
  <c r="M494" i="4" a="1"/>
  <c r="M494" i="4" s="1"/>
  <c r="M495" i="4" a="1"/>
  <c r="M495" i="4" s="1"/>
  <c r="M496" i="4" a="1"/>
  <c r="M496" i="4" s="1"/>
  <c r="M497" i="4" a="1"/>
  <c r="M497" i="4"/>
  <c r="M498" i="4" a="1"/>
  <c r="M498" i="4" s="1"/>
  <c r="M499" i="4" a="1"/>
  <c r="M499" i="4" s="1"/>
  <c r="M500" i="4" a="1"/>
  <c r="M500" i="4" s="1"/>
  <c r="M501" i="4" a="1"/>
  <c r="M501" i="4" s="1"/>
  <c r="M502" i="4" a="1"/>
  <c r="M502" i="4" s="1"/>
  <c r="M503" i="4" a="1"/>
  <c r="M503" i="4"/>
  <c r="M504" i="4" a="1"/>
  <c r="M504" i="4" s="1"/>
  <c r="M505" i="4" a="1"/>
  <c r="M505" i="4" s="1"/>
  <c r="M506" i="4" a="1"/>
  <c r="M506" i="4" s="1"/>
  <c r="M507" i="4" a="1"/>
  <c r="M507" i="4" s="1"/>
  <c r="M508" i="4" a="1"/>
  <c r="M508" i="4" s="1"/>
  <c r="M509" i="4" a="1"/>
  <c r="M509" i="4"/>
  <c r="M510" i="4" a="1"/>
  <c r="M510" i="4" s="1"/>
  <c r="M511" i="4" a="1"/>
  <c r="M511" i="4" s="1"/>
  <c r="M512" i="4" a="1"/>
  <c r="M512" i="4" s="1"/>
  <c r="M513" i="4" a="1"/>
  <c r="M513" i="4"/>
  <c r="M514" i="4" a="1"/>
  <c r="M514" i="4" s="1"/>
  <c r="M515" i="4" a="1"/>
  <c r="M515" i="4" s="1"/>
  <c r="M516" i="4" a="1"/>
  <c r="M516" i="4" s="1"/>
  <c r="M517" i="4" a="1"/>
  <c r="M517" i="4" s="1"/>
  <c r="M518" i="4" a="1"/>
  <c r="M518" i="4" s="1"/>
  <c r="M519" i="4" a="1"/>
  <c r="M519" i="4" s="1"/>
  <c r="M520" i="4" a="1"/>
  <c r="M520" i="4" s="1"/>
  <c r="M521" i="4" a="1"/>
  <c r="M521" i="4" s="1"/>
  <c r="M522" i="4" a="1"/>
  <c r="M522" i="4" s="1"/>
  <c r="M523" i="4" a="1"/>
  <c r="M523" i="4" s="1"/>
  <c r="M524" i="4" a="1"/>
  <c r="M524" i="4" s="1"/>
  <c r="M525" i="4" a="1"/>
  <c r="M525" i="4" s="1"/>
  <c r="M526" i="4" a="1"/>
  <c r="M526" i="4" s="1"/>
  <c r="M527" i="4" a="1"/>
  <c r="M527" i="4"/>
  <c r="M528" i="4" a="1"/>
  <c r="M528" i="4" s="1"/>
  <c r="M529" i="4" a="1"/>
  <c r="M529" i="4"/>
  <c r="M530" i="4" a="1"/>
  <c r="M530" i="4" s="1"/>
  <c r="M531" i="4" a="1"/>
  <c r="M531" i="4" s="1"/>
  <c r="M532" i="4" a="1"/>
  <c r="M532" i="4" s="1"/>
  <c r="M533" i="4" a="1"/>
  <c r="M533" i="4"/>
  <c r="M534" i="4" a="1"/>
  <c r="M534" i="4" s="1"/>
  <c r="M535" i="4" a="1"/>
  <c r="M535" i="4"/>
  <c r="M536" i="4" a="1"/>
  <c r="M536" i="4" s="1"/>
  <c r="M537" i="4" a="1"/>
  <c r="M537" i="4"/>
  <c r="M538" i="4" a="1"/>
  <c r="M538" i="4" s="1"/>
  <c r="M539" i="4" a="1"/>
  <c r="M539" i="4" s="1"/>
  <c r="M540" i="4" a="1"/>
  <c r="M540" i="4" s="1"/>
  <c r="M541" i="4" a="1"/>
  <c r="M541" i="4"/>
  <c r="M542" i="4" a="1"/>
  <c r="M542" i="4" s="1"/>
  <c r="M543" i="4" a="1"/>
  <c r="M543" i="4"/>
  <c r="M544" i="4" a="1"/>
  <c r="M544" i="4" s="1"/>
  <c r="M545" i="4" a="1"/>
  <c r="M545" i="4" s="1"/>
  <c r="M546" i="4" a="1"/>
  <c r="M546" i="4" s="1"/>
  <c r="M547" i="4" a="1"/>
  <c r="M547" i="4" s="1"/>
  <c r="M548" i="4" a="1"/>
  <c r="M548" i="4" s="1"/>
  <c r="M549" i="4" a="1"/>
  <c r="M549" i="4" s="1"/>
  <c r="M550" i="4" a="1"/>
  <c r="M550" i="4" s="1"/>
  <c r="M551" i="4" a="1"/>
  <c r="M551" i="4"/>
  <c r="M552" i="4" a="1"/>
  <c r="M552" i="4" s="1"/>
  <c r="M553" i="4" a="1"/>
  <c r="M553" i="4"/>
  <c r="M554" i="4" a="1"/>
  <c r="M554" i="4" s="1"/>
  <c r="M555" i="4" a="1"/>
  <c r="M555" i="4" s="1"/>
  <c r="M556" i="4" a="1"/>
  <c r="M556" i="4" s="1"/>
  <c r="M557" i="4" a="1"/>
  <c r="M557" i="4"/>
  <c r="M558" i="4" a="1"/>
  <c r="M558" i="4" s="1"/>
  <c r="M559" i="4" a="1"/>
  <c r="M559" i="4"/>
  <c r="M560" i="4" a="1"/>
  <c r="M560" i="4" s="1"/>
  <c r="M561" i="4" a="1"/>
  <c r="M561" i="4" s="1"/>
  <c r="M562" i="4" a="1"/>
  <c r="M562" i="4" s="1"/>
  <c r="M563" i="4" a="1"/>
  <c r="M563" i="4" s="1"/>
  <c r="M564" i="4" a="1"/>
  <c r="M564" i="4" s="1"/>
  <c r="M565" i="4" a="1"/>
  <c r="M565" i="4"/>
  <c r="M566" i="4" a="1"/>
  <c r="M566" i="4" s="1"/>
  <c r="M567" i="4" a="1"/>
  <c r="M567" i="4" s="1"/>
  <c r="M568" i="4" a="1"/>
  <c r="M568" i="4" s="1"/>
  <c r="M569" i="4" a="1"/>
  <c r="M569" i="4" s="1"/>
  <c r="M570" i="4" a="1"/>
  <c r="M570" i="4" s="1"/>
  <c r="M571" i="4" a="1"/>
  <c r="M571" i="4" s="1"/>
  <c r="M572" i="4" a="1"/>
  <c r="M572" i="4" s="1"/>
  <c r="M573" i="4" a="1"/>
  <c r="M573" i="4"/>
  <c r="M574" i="4" a="1"/>
  <c r="M574" i="4" s="1"/>
  <c r="M575" i="4" a="1"/>
  <c r="M575" i="4" s="1"/>
  <c r="M576" i="4" a="1"/>
  <c r="M576" i="4" s="1"/>
  <c r="M577" i="4" a="1"/>
  <c r="M577" i="4" s="1"/>
  <c r="M578" i="4" a="1"/>
  <c r="M578" i="4" s="1"/>
  <c r="M579" i="4" a="1"/>
  <c r="M579" i="4" s="1"/>
  <c r="M580" i="4" a="1"/>
  <c r="M580" i="4" s="1"/>
  <c r="M581" i="4" a="1"/>
  <c r="M581" i="4" s="1"/>
  <c r="M582" i="4" a="1"/>
  <c r="M582" i="4" s="1"/>
  <c r="M583" i="4" a="1"/>
  <c r="M583" i="4"/>
  <c r="M584" i="4" a="1"/>
  <c r="M584" i="4" s="1"/>
  <c r="M585" i="4" a="1"/>
  <c r="M585" i="4"/>
  <c r="M586" i="4" a="1"/>
  <c r="M586" i="4" s="1"/>
  <c r="M587" i="4" a="1"/>
  <c r="M587" i="4" s="1"/>
  <c r="M588" i="4" a="1"/>
  <c r="M588" i="4" s="1"/>
  <c r="M589" i="4" a="1"/>
  <c r="M589" i="4"/>
  <c r="M590" i="4" a="1"/>
  <c r="M590" i="4" s="1"/>
  <c r="M591" i="4" a="1"/>
  <c r="M591" i="4"/>
  <c r="M592" i="4" a="1"/>
  <c r="M592" i="4" s="1"/>
  <c r="M593" i="4" a="1"/>
  <c r="M593" i="4" s="1"/>
  <c r="M594" i="4" a="1"/>
  <c r="M594" i="4" s="1"/>
  <c r="M595" i="4" a="1"/>
  <c r="M595" i="4" s="1"/>
  <c r="M596" i="4" a="1"/>
  <c r="M596" i="4" s="1"/>
  <c r="M597" i="4" a="1"/>
  <c r="M597" i="4"/>
  <c r="M598" i="4" a="1"/>
  <c r="M598" i="4" s="1"/>
  <c r="M599" i="4" a="1"/>
  <c r="M599" i="4" s="1"/>
  <c r="M600" i="4" a="1"/>
  <c r="M600" i="4" s="1"/>
  <c r="M601" i="4" a="1"/>
  <c r="M601" i="4"/>
  <c r="M602" i="4" a="1"/>
  <c r="M602" i="4" s="1"/>
  <c r="M603" i="4" a="1"/>
  <c r="M603" i="4"/>
  <c r="M604" i="4" a="1"/>
  <c r="M604" i="4" s="1"/>
  <c r="M605" i="4" a="1"/>
  <c r="M605" i="4"/>
  <c r="M606" i="4" a="1"/>
  <c r="M606" i="4" s="1"/>
  <c r="M607" i="4" a="1"/>
  <c r="M607" i="4"/>
  <c r="M608" i="4" a="1"/>
  <c r="M608" i="4" s="1"/>
  <c r="M609" i="4" a="1"/>
  <c r="M609" i="4"/>
  <c r="M610" i="4" a="1"/>
  <c r="M610" i="4" s="1"/>
  <c r="M611" i="4" a="1"/>
  <c r="M611" i="4"/>
  <c r="M612" i="4" a="1"/>
  <c r="M612" i="4" s="1"/>
  <c r="M613" i="4" a="1"/>
  <c r="M613" i="4"/>
  <c r="M614" i="4" a="1"/>
  <c r="M614" i="4" s="1"/>
  <c r="M615" i="4" a="1"/>
  <c r="M615" i="4"/>
  <c r="M616" i="4" a="1"/>
  <c r="M616" i="4" s="1"/>
  <c r="M617" i="4" a="1"/>
  <c r="M617" i="4"/>
  <c r="M618" i="4" a="1"/>
  <c r="M618" i="4" s="1"/>
  <c r="M619" i="4" a="1"/>
  <c r="M619" i="4"/>
  <c r="M620" i="4" a="1"/>
  <c r="M620" i="4" s="1"/>
  <c r="M621" i="4" a="1"/>
  <c r="M621" i="4"/>
  <c r="M622" i="4" a="1"/>
  <c r="M622" i="4" s="1"/>
  <c r="M623" i="4" a="1"/>
  <c r="M623" i="4"/>
  <c r="M624" i="4" a="1"/>
  <c r="M624" i="4" s="1"/>
  <c r="M625" i="4" a="1"/>
  <c r="M625" i="4" s="1"/>
  <c r="M626" i="4" a="1"/>
  <c r="M626" i="4" s="1"/>
  <c r="M627" i="4" a="1"/>
  <c r="M627" i="4"/>
  <c r="M628" i="4" a="1"/>
  <c r="M628" i="4" s="1"/>
  <c r="M629" i="4" a="1"/>
  <c r="M629" i="4"/>
  <c r="M630" i="4" a="1"/>
  <c r="M630" i="4" s="1"/>
  <c r="M631" i="4" a="1"/>
  <c r="M631" i="4"/>
  <c r="M632" i="4" a="1"/>
  <c r="M632" i="4" s="1"/>
  <c r="M633" i="4" a="1"/>
  <c r="M633" i="4" s="1"/>
  <c r="M634" i="4" a="1"/>
  <c r="M634" i="4" s="1"/>
  <c r="M635" i="4" a="1"/>
  <c r="M635" i="4"/>
  <c r="M636" i="4" a="1"/>
  <c r="M636" i="4" s="1"/>
  <c r="M637" i="4" a="1"/>
  <c r="M637" i="4"/>
  <c r="M638" i="4" a="1"/>
  <c r="M638" i="4" s="1"/>
  <c r="M639" i="4" a="1"/>
  <c r="M639" i="4"/>
  <c r="M640" i="4" a="1"/>
  <c r="M640" i="4" s="1"/>
  <c r="M641" i="4" a="1"/>
  <c r="M641" i="4" s="1"/>
  <c r="M642" i="4" a="1"/>
  <c r="M642" i="4" s="1"/>
  <c r="M643" i="4" a="1"/>
  <c r="M643" i="4"/>
  <c r="M644" i="4" a="1"/>
  <c r="M644" i="4" s="1"/>
  <c r="M645" i="4" a="1"/>
  <c r="M645" i="4"/>
  <c r="M646" i="4" a="1"/>
  <c r="M646" i="4" s="1"/>
  <c r="M647" i="4" a="1"/>
  <c r="M647" i="4"/>
  <c r="M648" i="4" a="1"/>
  <c r="M648" i="4" s="1"/>
  <c r="M649" i="4" a="1"/>
  <c r="M649" i="4" s="1"/>
  <c r="M650" i="4" a="1"/>
  <c r="M650" i="4" s="1"/>
  <c r="M651" i="4" a="1"/>
  <c r="M651" i="4"/>
  <c r="M652" i="4" a="1"/>
  <c r="M652" i="4" s="1"/>
  <c r="M653" i="4" a="1"/>
  <c r="M653" i="4"/>
  <c r="M654" i="4" a="1"/>
  <c r="M654" i="4" s="1"/>
  <c r="M655" i="4" a="1"/>
  <c r="M655" i="4"/>
  <c r="M656" i="4" a="1"/>
  <c r="M656" i="4" s="1"/>
  <c r="M657" i="4" a="1"/>
  <c r="M657" i="4" s="1"/>
  <c r="M658" i="4" a="1"/>
  <c r="M658" i="4" s="1"/>
  <c r="M659" i="4" a="1"/>
  <c r="M659" i="4"/>
  <c r="M660" i="4" a="1"/>
  <c r="M660" i="4" s="1"/>
  <c r="M661" i="4" a="1"/>
  <c r="M661" i="4" s="1"/>
  <c r="M662" i="4" a="1"/>
  <c r="M662" i="4" s="1"/>
  <c r="M663" i="4" a="1"/>
  <c r="M663" i="4" s="1"/>
  <c r="M664" i="4" a="1"/>
  <c r="M664" i="4" s="1"/>
  <c r="M665" i="4" a="1"/>
  <c r="M665" i="4" s="1"/>
  <c r="M666" i="4" a="1"/>
  <c r="M666" i="4" s="1"/>
  <c r="M667" i="4" a="1"/>
  <c r="M667" i="4" s="1"/>
  <c r="M668" i="4" a="1"/>
  <c r="M668" i="4" s="1"/>
  <c r="M669" i="4" a="1"/>
  <c r="M669" i="4" s="1"/>
  <c r="M670" i="4" a="1"/>
  <c r="M670" i="4"/>
  <c r="M671" i="4" a="1"/>
  <c r="M671" i="4" s="1"/>
  <c r="M672" i="4" a="1"/>
  <c r="M672" i="4" s="1"/>
  <c r="M673" i="4" a="1"/>
  <c r="M673" i="4" s="1"/>
  <c r="M674" i="4" a="1"/>
  <c r="M674" i="4" s="1"/>
  <c r="M675" i="4" a="1"/>
  <c r="M675" i="4" s="1"/>
  <c r="M676" i="4" a="1"/>
  <c r="M676" i="4"/>
  <c r="M677" i="4" a="1"/>
  <c r="M677" i="4" s="1"/>
  <c r="M678" i="4" a="1"/>
  <c r="M678" i="4"/>
  <c r="M679" i="4" a="1"/>
  <c r="M679" i="4" s="1"/>
  <c r="M680" i="4" a="1"/>
  <c r="M680" i="4" s="1"/>
  <c r="M681" i="4" a="1"/>
  <c r="M681" i="4" s="1"/>
  <c r="M682" i="4" a="1"/>
  <c r="M682" i="4"/>
  <c r="M683" i="4" a="1"/>
  <c r="M683" i="4" s="1"/>
  <c r="M684" i="4" a="1"/>
  <c r="M684" i="4"/>
  <c r="M685" i="4" a="1"/>
  <c r="M685" i="4" s="1"/>
  <c r="M686" i="4" a="1"/>
  <c r="M686" i="4" s="1"/>
  <c r="M687" i="4" a="1"/>
  <c r="M687" i="4" s="1"/>
  <c r="M688" i="4" a="1"/>
  <c r="M688" i="4" s="1"/>
  <c r="M689" i="4" a="1"/>
  <c r="M689" i="4" s="1"/>
  <c r="M690" i="4" a="1"/>
  <c r="M690" i="4" s="1"/>
  <c r="M691" i="4" a="1"/>
  <c r="M691" i="4" s="1"/>
  <c r="M692" i="4" a="1"/>
  <c r="M692" i="4" s="1"/>
  <c r="M693" i="4" a="1"/>
  <c r="M693" i="4" s="1"/>
  <c r="M694" i="4" a="1"/>
  <c r="M694" i="4" s="1"/>
  <c r="M695" i="4" a="1"/>
  <c r="M695" i="4" s="1"/>
  <c r="M696" i="4" a="1"/>
  <c r="M696" i="4" s="1"/>
  <c r="M697" i="4" a="1"/>
  <c r="M697" i="4" s="1"/>
  <c r="M698" i="4" a="1"/>
  <c r="M698" i="4" s="1"/>
  <c r="M699" i="4" a="1"/>
  <c r="M699" i="4" s="1"/>
  <c r="M700" i="4" a="1"/>
  <c r="M700" i="4" s="1"/>
  <c r="M701" i="4" a="1"/>
  <c r="M701" i="4" s="1"/>
  <c r="M702" i="4" a="1"/>
  <c r="M702" i="4"/>
  <c r="M703" i="4" a="1"/>
  <c r="M703" i="4" s="1"/>
  <c r="M704" i="4" a="1"/>
  <c r="M704" i="4" s="1"/>
  <c r="M705" i="4" a="1"/>
  <c r="M705" i="4" s="1"/>
  <c r="M706" i="4" a="1"/>
  <c r="M706" i="4" s="1"/>
  <c r="M707" i="4" a="1"/>
  <c r="M707" i="4" s="1"/>
  <c r="M708" i="4" a="1"/>
  <c r="M708" i="4" s="1"/>
  <c r="M709" i="4" a="1"/>
  <c r="M709" i="4" s="1"/>
  <c r="M710" i="4" a="1"/>
  <c r="M710" i="4"/>
  <c r="M711" i="4" a="1"/>
  <c r="M711" i="4" s="1"/>
  <c r="M712" i="4" a="1"/>
  <c r="M712" i="4" s="1"/>
  <c r="M713" i="4" a="1"/>
  <c r="M713" i="4" s="1"/>
  <c r="M714" i="4" a="1"/>
  <c r="M714" i="4" s="1"/>
  <c r="M715" i="4" a="1"/>
  <c r="M715" i="4" s="1"/>
  <c r="M716" i="4" a="1"/>
  <c r="M716" i="4"/>
  <c r="M717" i="4" a="1"/>
  <c r="M717" i="4" s="1"/>
  <c r="M718" i="4" a="1"/>
  <c r="M718" i="4" s="1"/>
  <c r="M719" i="4" a="1"/>
  <c r="M719" i="4" s="1"/>
  <c r="M720" i="4" a="1"/>
  <c r="M720" i="4" s="1"/>
  <c r="M721" i="4" a="1"/>
  <c r="M721" i="4" s="1"/>
  <c r="M722" i="4" a="1"/>
  <c r="M722" i="4"/>
  <c r="M723" i="4" a="1"/>
  <c r="M723" i="4" s="1"/>
  <c r="M724" i="4" a="1"/>
  <c r="M724" i="4" s="1"/>
  <c r="M725" i="4" a="1"/>
  <c r="M725" i="4" s="1"/>
  <c r="M726" i="4" a="1"/>
  <c r="M726" i="4" s="1"/>
  <c r="M727" i="4" a="1"/>
  <c r="M727" i="4" s="1"/>
  <c r="M728" i="4" a="1"/>
  <c r="M728" i="4" s="1"/>
  <c r="M729" i="4" a="1"/>
  <c r="M729" i="4" s="1"/>
  <c r="M730" i="4" a="1"/>
  <c r="M730" i="4" s="1"/>
  <c r="M731" i="4" a="1"/>
  <c r="M731" i="4" s="1"/>
  <c r="M732" i="4" a="1"/>
  <c r="M732" i="4" s="1"/>
  <c r="M733" i="4" a="1"/>
  <c r="M733" i="4" s="1"/>
  <c r="M734" i="4" a="1"/>
  <c r="M734" i="4"/>
  <c r="M735" i="4" a="1"/>
  <c r="M735" i="4" s="1"/>
  <c r="M736" i="4" a="1"/>
  <c r="M736" i="4" s="1"/>
  <c r="M737" i="4" a="1"/>
  <c r="M737" i="4" s="1"/>
  <c r="M738" i="4" a="1"/>
  <c r="M738" i="4" s="1"/>
  <c r="M739" i="4" a="1"/>
  <c r="M739" i="4" s="1"/>
  <c r="M740" i="4" a="1"/>
  <c r="M740" i="4"/>
  <c r="M741" i="4" a="1"/>
  <c r="M741" i="4" s="1"/>
  <c r="M742" i="4" a="1"/>
  <c r="M742" i="4"/>
  <c r="M743" i="4" a="1"/>
  <c r="M743" i="4" s="1"/>
  <c r="M744" i="4" a="1"/>
  <c r="M744" i="4" s="1"/>
  <c r="M745" i="4" a="1"/>
  <c r="M745" i="4" s="1"/>
  <c r="M746" i="4" a="1"/>
  <c r="M746" i="4"/>
  <c r="M747" i="4" a="1"/>
  <c r="M747" i="4" s="1"/>
  <c r="M748" i="4" a="1"/>
  <c r="M748" i="4"/>
  <c r="M749" i="4" a="1"/>
  <c r="M749" i="4" s="1"/>
  <c r="M750" i="4" a="1"/>
  <c r="M750" i="4" s="1"/>
  <c r="M751" i="4" a="1"/>
  <c r="M751" i="4" s="1"/>
  <c r="M752" i="4" a="1"/>
  <c r="M752" i="4" s="1"/>
  <c r="M753" i="4" a="1"/>
  <c r="M753" i="4" s="1"/>
  <c r="M754" i="4" a="1"/>
  <c r="M754" i="4" s="1"/>
  <c r="M755" i="4" a="1"/>
  <c r="M755" i="4" s="1"/>
  <c r="M756" i="4" a="1"/>
  <c r="M756" i="4" s="1"/>
  <c r="M757" i="4" a="1"/>
  <c r="M757" i="4" s="1"/>
  <c r="M758" i="4" a="1"/>
  <c r="M758" i="4" s="1"/>
  <c r="M759" i="4" a="1"/>
  <c r="M759" i="4" s="1"/>
  <c r="M760" i="4" a="1"/>
  <c r="M760" i="4" s="1"/>
  <c r="M761" i="4" a="1"/>
  <c r="M761" i="4" s="1"/>
  <c r="M762" i="4" a="1"/>
  <c r="M762" i="4" s="1"/>
  <c r="M763" i="4" a="1"/>
  <c r="M763" i="4" s="1"/>
  <c r="M764" i="4" a="1"/>
  <c r="M764" i="4" s="1"/>
  <c r="M765" i="4" a="1"/>
  <c r="M765" i="4" s="1"/>
  <c r="M766" i="4" a="1"/>
  <c r="M766" i="4"/>
  <c r="M767" i="4" a="1"/>
  <c r="M767" i="4" s="1"/>
  <c r="M768" i="4" a="1"/>
  <c r="M768" i="4" s="1"/>
  <c r="M769" i="4" a="1"/>
  <c r="M769" i="4" s="1"/>
  <c r="M770" i="4" a="1"/>
  <c r="M770" i="4" s="1"/>
  <c r="M771" i="4" a="1"/>
  <c r="M771" i="4" s="1"/>
  <c r="M772" i="4" a="1"/>
  <c r="M772" i="4" s="1"/>
  <c r="M773" i="4" a="1"/>
  <c r="M773" i="4" s="1"/>
  <c r="M774" i="4" a="1"/>
  <c r="M774" i="4"/>
  <c r="M775" i="4" a="1"/>
  <c r="M775" i="4" s="1"/>
  <c r="M776" i="4" a="1"/>
  <c r="M776" i="4" s="1"/>
  <c r="M777" i="4" a="1"/>
  <c r="M777" i="4" s="1"/>
  <c r="M778" i="4" a="1"/>
  <c r="M778" i="4" s="1"/>
  <c r="M779" i="4" a="1"/>
  <c r="M779" i="4" s="1"/>
  <c r="M780" i="4" a="1"/>
  <c r="M780" i="4"/>
  <c r="M781" i="4" a="1"/>
  <c r="M781" i="4" s="1"/>
  <c r="M782" i="4" a="1"/>
  <c r="M782" i="4" s="1"/>
  <c r="M783" i="4" a="1"/>
  <c r="M783" i="4" s="1"/>
  <c r="M784" i="4" a="1"/>
  <c r="M784" i="4" s="1"/>
  <c r="M785" i="4" a="1"/>
  <c r="M785" i="4" s="1"/>
  <c r="M786" i="4" a="1"/>
  <c r="M786" i="4"/>
  <c r="M787" i="4" a="1"/>
  <c r="M787" i="4" s="1"/>
  <c r="M788" i="4" a="1"/>
  <c r="M788" i="4" s="1"/>
  <c r="M789" i="4" a="1"/>
  <c r="M789" i="4" s="1"/>
  <c r="M790" i="4" a="1"/>
  <c r="M790" i="4" s="1"/>
  <c r="M791" i="4" a="1"/>
  <c r="M791" i="4" s="1"/>
  <c r="M792" i="4" a="1"/>
  <c r="M792" i="4" s="1"/>
  <c r="M793" i="4" a="1"/>
  <c r="M793" i="4" s="1"/>
  <c r="M794" i="4" a="1"/>
  <c r="M794" i="4" s="1"/>
  <c r="M795" i="4" a="1"/>
  <c r="M795" i="4" s="1"/>
  <c r="M796" i="4" a="1"/>
  <c r="M796" i="4" s="1"/>
  <c r="M797" i="4" a="1"/>
  <c r="M797" i="4" s="1"/>
  <c r="M798" i="4" a="1"/>
  <c r="M798" i="4"/>
  <c r="M799" i="4" a="1"/>
  <c r="M799" i="4" s="1"/>
  <c r="M800" i="4" a="1"/>
  <c r="M800" i="4" s="1"/>
  <c r="M801" i="4" a="1"/>
  <c r="M801" i="4" s="1"/>
  <c r="M802" i="4" a="1"/>
  <c r="M802" i="4" s="1"/>
  <c r="M803" i="4" a="1"/>
  <c r="M803" i="4" s="1"/>
  <c r="M804" i="4" a="1"/>
  <c r="M804" i="4"/>
  <c r="M805" i="4" a="1"/>
  <c r="M805" i="4" s="1"/>
  <c r="M806" i="4" a="1"/>
  <c r="M806" i="4"/>
  <c r="M807" i="4" a="1"/>
  <c r="M807" i="4" s="1"/>
  <c r="M808" i="4" a="1"/>
  <c r="M808" i="4" s="1"/>
  <c r="M809" i="4" a="1"/>
  <c r="M809" i="4" s="1"/>
  <c r="M810" i="4" a="1"/>
  <c r="M810" i="4"/>
  <c r="M811" i="4" a="1"/>
  <c r="M811" i="4" s="1"/>
  <c r="M812" i="4" a="1"/>
  <c r="M812" i="4"/>
  <c r="M813" i="4" a="1"/>
  <c r="M813" i="4" s="1"/>
  <c r="M814" i="4" a="1"/>
  <c r="M814" i="4" s="1"/>
  <c r="M815" i="4" a="1"/>
  <c r="M815" i="4" s="1"/>
  <c r="M816" i="4" a="1"/>
  <c r="M816" i="4" s="1"/>
  <c r="M817" i="4" a="1"/>
  <c r="M817" i="4" s="1"/>
  <c r="M818" i="4" a="1"/>
  <c r="M818" i="4" s="1"/>
  <c r="M819" i="4" a="1"/>
  <c r="M819" i="4" s="1"/>
  <c r="M820" i="4" a="1"/>
  <c r="M820" i="4" s="1"/>
  <c r="M821" i="4" a="1"/>
  <c r="M821" i="4" s="1"/>
  <c r="M822" i="4" a="1"/>
  <c r="M822" i="4" s="1"/>
  <c r="M823" i="4" a="1"/>
  <c r="M823" i="4" s="1"/>
  <c r="M824" i="4" a="1"/>
  <c r="M824" i="4" s="1"/>
  <c r="M825" i="4" a="1"/>
  <c r="M825" i="4" s="1"/>
  <c r="M826" i="4" a="1"/>
  <c r="M826" i="4" s="1"/>
  <c r="M827" i="4" a="1"/>
  <c r="M827" i="4" s="1"/>
  <c r="M828" i="4" a="1"/>
  <c r="M828" i="4" s="1"/>
  <c r="M829" i="4" a="1"/>
  <c r="M829" i="4" s="1"/>
  <c r="M830" i="4" a="1"/>
  <c r="M830" i="4"/>
  <c r="M831" i="4" a="1"/>
  <c r="M831" i="4" s="1"/>
  <c r="M832" i="4" a="1"/>
  <c r="M832" i="4" s="1"/>
  <c r="M833" i="4" a="1"/>
  <c r="M833" i="4" s="1"/>
  <c r="M834" i="4" a="1"/>
  <c r="M834" i="4" s="1"/>
  <c r="M835" i="4" a="1"/>
  <c r="M835" i="4" s="1"/>
  <c r="M836" i="4" a="1"/>
  <c r="M836" i="4" s="1"/>
  <c r="M837" i="4" a="1"/>
  <c r="M837" i="4" s="1"/>
  <c r="M838" i="4" a="1"/>
  <c r="M838" i="4"/>
  <c r="M839" i="4" a="1"/>
  <c r="M839" i="4" s="1"/>
  <c r="M840" i="4" a="1"/>
  <c r="M840" i="4" s="1"/>
  <c r="M841" i="4" a="1"/>
  <c r="M841" i="4" s="1"/>
  <c r="M842" i="4" a="1"/>
  <c r="M842" i="4" s="1"/>
  <c r="M843" i="4" a="1"/>
  <c r="M843" i="4" s="1"/>
  <c r="M844" i="4" a="1"/>
  <c r="M844" i="4"/>
  <c r="M845" i="4" a="1"/>
  <c r="M845" i="4" s="1"/>
  <c r="M846" i="4" a="1"/>
  <c r="M846" i="4" s="1"/>
  <c r="M847" i="4" a="1"/>
  <c r="M847" i="4" s="1"/>
  <c r="M848" i="4" a="1"/>
  <c r="M848" i="4" s="1"/>
  <c r="M849" i="4" a="1"/>
  <c r="M849" i="4" s="1"/>
  <c r="M850" i="4" a="1"/>
  <c r="M850" i="4"/>
  <c r="M851" i="4" a="1"/>
  <c r="M851" i="4" s="1"/>
  <c r="M852" i="4" a="1"/>
  <c r="M852" i="4" s="1"/>
  <c r="M853" i="4" a="1"/>
  <c r="M853" i="4" s="1"/>
  <c r="M854" i="4" a="1"/>
  <c r="M854" i="4" s="1"/>
  <c r="M855" i="4" a="1"/>
  <c r="M855" i="4" s="1"/>
  <c r="M856" i="4" a="1"/>
  <c r="M856" i="4" s="1"/>
  <c r="M857" i="4" a="1"/>
  <c r="M857" i="4" s="1"/>
  <c r="M858" i="4" a="1"/>
  <c r="M858" i="4" s="1"/>
  <c r="M859" i="4" a="1"/>
  <c r="M859" i="4" s="1"/>
  <c r="M860" i="4" a="1"/>
  <c r="M860" i="4" s="1"/>
  <c r="M861" i="4" a="1"/>
  <c r="M861" i="4" s="1"/>
  <c r="M862" i="4" a="1"/>
  <c r="M862" i="4"/>
  <c r="M863" i="4" a="1"/>
  <c r="M863" i="4" s="1"/>
  <c r="M864" i="4" a="1"/>
  <c r="M864" i="4" s="1"/>
  <c r="M865" i="4" a="1"/>
  <c r="M865" i="4" s="1"/>
  <c r="M866" i="4" a="1"/>
  <c r="M866" i="4" s="1"/>
  <c r="M867" i="4" a="1"/>
  <c r="M867" i="4" s="1"/>
  <c r="M868" i="4" a="1"/>
  <c r="M868" i="4"/>
  <c r="M869" i="4" a="1"/>
  <c r="M869" i="4" s="1"/>
  <c r="M870" i="4" a="1"/>
  <c r="M870" i="4"/>
  <c r="M871" i="4" a="1"/>
  <c r="M871" i="4" s="1"/>
  <c r="M872" i="4" a="1"/>
  <c r="M872" i="4" s="1"/>
  <c r="M873" i="4" a="1"/>
  <c r="M873" i="4" s="1"/>
  <c r="M874" i="4" a="1"/>
  <c r="M874" i="4"/>
  <c r="M875" i="4" a="1"/>
  <c r="M875" i="4" s="1"/>
  <c r="M876" i="4" a="1"/>
  <c r="M876" i="4"/>
  <c r="M877" i="4" a="1"/>
  <c r="M877" i="4" s="1"/>
  <c r="M878" i="4" a="1"/>
  <c r="M878" i="4" s="1"/>
  <c r="M879" i="4" a="1"/>
  <c r="M879" i="4" s="1"/>
  <c r="M880" i="4" a="1"/>
  <c r="M880" i="4" s="1"/>
  <c r="M881" i="4" a="1"/>
  <c r="M881" i="4" s="1"/>
  <c r="M882" i="4" a="1"/>
  <c r="M882" i="4" s="1"/>
  <c r="M883" i="4" a="1"/>
  <c r="M883" i="4" s="1"/>
  <c r="M884" i="4" a="1"/>
  <c r="M884" i="4" s="1"/>
  <c r="M885" i="4" a="1"/>
  <c r="M885" i="4" s="1"/>
  <c r="M886" i="4" a="1"/>
  <c r="M886" i="4" s="1"/>
  <c r="M887" i="4" a="1"/>
  <c r="M887" i="4" s="1"/>
  <c r="M888" i="4" a="1"/>
  <c r="M888" i="4" s="1"/>
  <c r="M889" i="4" a="1"/>
  <c r="M889" i="4" s="1"/>
  <c r="M890" i="4" a="1"/>
  <c r="M890" i="4" s="1"/>
  <c r="M891" i="4" a="1"/>
  <c r="M891" i="4" s="1"/>
  <c r="M892" i="4" a="1"/>
  <c r="M892" i="4" s="1"/>
  <c r="M893" i="4" a="1"/>
  <c r="M893" i="4" s="1"/>
  <c r="M894" i="4" a="1"/>
  <c r="M894" i="4"/>
  <c r="M895" i="4" a="1"/>
  <c r="M895" i="4" s="1"/>
  <c r="M896" i="4" a="1"/>
  <c r="M896" i="4" s="1"/>
  <c r="M897" i="4" a="1"/>
  <c r="M897" i="4" s="1"/>
  <c r="M898" i="4" a="1"/>
  <c r="M898" i="4" s="1"/>
  <c r="M899" i="4" a="1"/>
  <c r="M899" i="4" s="1"/>
  <c r="M900" i="4" a="1"/>
  <c r="M900" i="4" s="1"/>
  <c r="M901" i="4" a="1"/>
  <c r="M901" i="4" s="1"/>
  <c r="M902" i="4" a="1"/>
  <c r="M902" i="4"/>
  <c r="M903" i="4" a="1"/>
  <c r="M903" i="4" s="1"/>
  <c r="M904" i="4" a="1"/>
  <c r="M904" i="4" s="1"/>
  <c r="M905" i="4" a="1"/>
  <c r="M905" i="4" s="1"/>
  <c r="M906" i="4" a="1"/>
  <c r="M906" i="4" s="1"/>
  <c r="M907" i="4" a="1"/>
  <c r="M907" i="4" s="1"/>
  <c r="M908" i="4" a="1"/>
  <c r="M908" i="4"/>
  <c r="M909" i="4" a="1"/>
  <c r="M909" i="4" s="1"/>
  <c r="M910" i="4" a="1"/>
  <c r="M910" i="4" s="1"/>
  <c r="M911" i="4" a="1"/>
  <c r="M911" i="4" s="1"/>
  <c r="M912" i="4" a="1"/>
  <c r="M912" i="4" s="1"/>
  <c r="M913" i="4" a="1"/>
  <c r="M913" i="4" s="1"/>
  <c r="M914" i="4" a="1"/>
  <c r="M914" i="4"/>
  <c r="M915" i="4" a="1"/>
  <c r="M915" i="4" s="1"/>
  <c r="M916" i="4" a="1"/>
  <c r="M916" i="4" s="1"/>
  <c r="M917" i="4" a="1"/>
  <c r="M917" i="4" s="1"/>
  <c r="M918" i="4" a="1"/>
  <c r="M918" i="4" s="1"/>
  <c r="M919" i="4" a="1"/>
  <c r="M919" i="4" s="1"/>
  <c r="M920" i="4" a="1"/>
  <c r="M920" i="4" s="1"/>
  <c r="M921" i="4" a="1"/>
  <c r="M921" i="4" s="1"/>
  <c r="M922" i="4" a="1"/>
  <c r="M922" i="4" s="1"/>
  <c r="M923" i="4" a="1"/>
  <c r="M923" i="4" s="1"/>
  <c r="M924" i="4" a="1"/>
  <c r="M924" i="4" s="1"/>
  <c r="M925" i="4" a="1"/>
  <c r="M925" i="4" s="1"/>
  <c r="M926" i="4" a="1"/>
  <c r="M926" i="4"/>
  <c r="M927" i="4" a="1"/>
  <c r="M927" i="4" s="1"/>
  <c r="M928" i="4" a="1"/>
  <c r="M928" i="4" s="1"/>
  <c r="M929" i="4" a="1"/>
  <c r="M929" i="4" s="1"/>
  <c r="M930" i="4" a="1"/>
  <c r="M930" i="4" s="1"/>
  <c r="M931" i="4" a="1"/>
  <c r="M931" i="4" s="1"/>
  <c r="M932" i="4" a="1"/>
  <c r="M932" i="4"/>
  <c r="M933" i="4" a="1"/>
  <c r="M933" i="4" s="1"/>
  <c r="M934" i="4" a="1"/>
  <c r="M934" i="4"/>
  <c r="M935" i="4" a="1"/>
  <c r="M935" i="4" s="1"/>
  <c r="M936" i="4" a="1"/>
  <c r="M936" i="4" s="1"/>
  <c r="M937" i="4" a="1"/>
  <c r="M937" i="4" s="1"/>
  <c r="M938" i="4" a="1"/>
  <c r="M938" i="4"/>
  <c r="M939" i="4" a="1"/>
  <c r="M939" i="4" s="1"/>
  <c r="M940" i="4" a="1"/>
  <c r="M940" i="4"/>
  <c r="M941" i="4" a="1"/>
  <c r="M941" i="4" s="1"/>
  <c r="M942" i="4" a="1"/>
  <c r="M942" i="4" s="1"/>
  <c r="M943" i="4" a="1"/>
  <c r="M943" i="4" s="1"/>
  <c r="M944" i="4" a="1"/>
  <c r="M944" i="4" s="1"/>
  <c r="M945" i="4" a="1"/>
  <c r="M945" i="4" s="1"/>
  <c r="M946" i="4" a="1"/>
  <c r="M946" i="4" s="1"/>
  <c r="M947" i="4" a="1"/>
  <c r="M947" i="4" s="1"/>
  <c r="M948" i="4" a="1"/>
  <c r="M948" i="4" s="1"/>
  <c r="M949" i="4" a="1"/>
  <c r="M949" i="4" s="1"/>
  <c r="M950" i="4" a="1"/>
  <c r="M950" i="4" s="1"/>
  <c r="M951" i="4" a="1"/>
  <c r="M951" i="4" s="1"/>
  <c r="M952" i="4" a="1"/>
  <c r="M952" i="4" s="1"/>
  <c r="M953" i="4" a="1"/>
  <c r="M953" i="4" s="1"/>
  <c r="M954" i="4" a="1"/>
  <c r="M954" i="4" s="1"/>
  <c r="M955" i="4" a="1"/>
  <c r="M955" i="4" s="1"/>
  <c r="M956" i="4" a="1"/>
  <c r="M956" i="4" s="1"/>
  <c r="M957" i="4" a="1"/>
  <c r="M957" i="4" s="1"/>
  <c r="M958" i="4" a="1"/>
  <c r="M958" i="4"/>
  <c r="M959" i="4" a="1"/>
  <c r="M959" i="4" s="1"/>
  <c r="M960" i="4" a="1"/>
  <c r="M960" i="4" s="1"/>
  <c r="M961" i="4" a="1"/>
  <c r="M961" i="4" s="1"/>
  <c r="M962" i="4" a="1"/>
  <c r="M962" i="4" s="1"/>
  <c r="M963" i="4" a="1"/>
  <c r="M963" i="4" s="1"/>
  <c r="M964" i="4" a="1"/>
  <c r="M964" i="4" s="1"/>
  <c r="M965" i="4" a="1"/>
  <c r="M965" i="4" s="1"/>
  <c r="M966" i="4" a="1"/>
  <c r="M966" i="4"/>
  <c r="M967" i="4" a="1"/>
  <c r="M967" i="4" s="1"/>
  <c r="M968" i="4" a="1"/>
  <c r="M968" i="4" s="1"/>
  <c r="M969" i="4" a="1"/>
  <c r="M969" i="4" s="1"/>
  <c r="M970" i="4" a="1"/>
  <c r="M970" i="4" s="1"/>
  <c r="M971" i="4" a="1"/>
  <c r="M971" i="4" s="1"/>
  <c r="M972" i="4" a="1"/>
  <c r="M972" i="4"/>
  <c r="M973" i="4" a="1"/>
  <c r="M973" i="4" s="1"/>
  <c r="M974" i="4" a="1"/>
  <c r="M974" i="4" s="1"/>
  <c r="M975" i="4" a="1"/>
  <c r="M975" i="4" s="1"/>
  <c r="M976" i="4" a="1"/>
  <c r="M976" i="4" s="1"/>
  <c r="M977" i="4" a="1"/>
  <c r="M977" i="4" s="1"/>
  <c r="M978" i="4" a="1"/>
  <c r="M978" i="4"/>
  <c r="M979" i="4" a="1"/>
  <c r="M979" i="4" s="1"/>
  <c r="M980" i="4" a="1"/>
  <c r="M980" i="4" s="1"/>
  <c r="M981" i="4" a="1"/>
  <c r="M981" i="4" s="1"/>
  <c r="M982" i="4" a="1"/>
  <c r="M982" i="4" s="1"/>
  <c r="M983" i="4" a="1"/>
  <c r="M983" i="4" s="1"/>
  <c r="M984" i="4" a="1"/>
  <c r="M984" i="4" s="1"/>
  <c r="M985" i="4" a="1"/>
  <c r="M985" i="4" s="1"/>
  <c r="M986" i="4" a="1"/>
  <c r="M986" i="4" s="1"/>
  <c r="M987" i="4" a="1"/>
  <c r="M987" i="4" s="1"/>
  <c r="M988" i="4" a="1"/>
  <c r="M988" i="4" s="1"/>
  <c r="M989" i="4" a="1"/>
  <c r="M989" i="4" s="1"/>
  <c r="M990" i="4" a="1"/>
  <c r="M990" i="4"/>
  <c r="M991" i="4" a="1"/>
  <c r="M991" i="4" s="1"/>
  <c r="M992" i="4" a="1"/>
  <c r="M992" i="4" s="1"/>
  <c r="M993" i="4" a="1"/>
  <c r="M993" i="4" s="1"/>
  <c r="M994" i="4" a="1"/>
  <c r="M994" i="4" s="1"/>
  <c r="M995" i="4" a="1"/>
  <c r="M995" i="4" s="1"/>
  <c r="M996" i="4" a="1"/>
  <c r="M996" i="4"/>
  <c r="M997" i="4" a="1"/>
  <c r="M997" i="4" s="1"/>
  <c r="M998" i="4" a="1"/>
  <c r="M998" i="4"/>
  <c r="M999" i="4" a="1"/>
  <c r="M999" i="4" s="1"/>
  <c r="M1000" i="4" a="1"/>
  <c r="M1000" i="4" s="1"/>
  <c r="M1001" i="4" a="1"/>
  <c r="M1001" i="4"/>
  <c r="M2" i="4" a="1"/>
  <c r="M2"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6A39BDA-7FF8-484F-8A5F-C21260E1A8C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3E546C5-9A56-44CA-BF9B-A7EA62BD7FB1}" name="WorksheetConnection_Excel Project Dataset.xlsx!DataTable" type="102" refreshedVersion="8" minRefreshableVersion="5">
    <extLst>
      <ext xmlns:x15="http://schemas.microsoft.com/office/spreadsheetml/2010/11/main" uri="{DE250136-89BD-433C-8126-D09CA5730AF9}">
        <x15:connection id="DataTable">
          <x15:rangePr sourceName="_xlcn.WorksheetConnection_ExcelProjectDataset.xlsxDataTable"/>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<sst xmlns="http://schemas.openxmlformats.org/spreadsheetml/2006/main" count="16280" uniqueCount="51">
  <si>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</si>
  <si>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</si>
  <si>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</si>
  <si>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</si>
  <si>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</si>
  <si>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</si>
  <si>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</si>
  <si>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</si>
  <si>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</si>
  <si>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</si>
  <si>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</si>
  <si>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</si>
  <si>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</si>
  <si>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</si>
  <si>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</si>
  <si>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</si>
  <si>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</si>
  <si>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</si>
  <si>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</si>
  <si>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</si>
  <si>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</si>
  <si>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</si>
  <si>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</si>
  <si>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</si>
  <si>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</si>
  <si>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</si>
  <si>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</si>
  <si>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</si>
  <si>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</si>
  <si>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</si>
  <si>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</si>
  <si>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</si>
  <si>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</si>
  <si>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</si>
  <si>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</si>
  <si>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</si>
  <si>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</si>
  <si>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</si>
  <si>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</si>
  <si>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</si>
  <si>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Group</t>
  </si>
  <si>
    <t>Row Labels</t>
  </si>
  <si>
    <t>Grand Total</t>
  </si>
  <si>
    <t>Count of Purchased Bike</t>
  </si>
  <si>
    <t>Column Labels</t>
  </si>
  <si>
    <t>At least 10 miles</t>
  </si>
  <si>
    <t>AverageIncome</t>
  </si>
  <si>
    <t>Below 30</t>
  </si>
  <si>
    <t>In the 30s</t>
  </si>
  <si>
    <t>Middle Aged</t>
  </si>
  <si>
    <t>Retirement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</si>
</sst>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00"/>
    <numFmt numFmtId="165" formatCode="\$#,##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i/>
      <sz val="26"/>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1" fontId="0" fillId="0" borderId="0" xfId="0" applyNumberFormat="1"/>
    <xf numFmtId="1" fontId="18" fillId="0" borderId="0" xfId="0" applyNumberFormat="1" applyFont="1"/>
    <xf numFmtId="0" fontId="0" fillId="0" borderId="0" xfId="0" pivotButton="1"/>
    <xf numFmtId="0" fontId="0" fillId="0" borderId="0" xfId="0" applyAlignment="1">
      <alignment horizontal="left"/>
    </xf>
    <xf numFmtId="165" fontId="0" fillId="0" borderId="0" xfId="0" applyNumberFormat="1"/>
    <xf numFmtId="0" fontId="0" fillId="33" borderId="0" xfId="0" applyFill="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numFmt numFmtId="1" formatCode="0"/>
    </dxf>
    <dxf>
      <numFmt numFmtId="1" formatCode="0"/>
    </dxf>
    <dxf>
      <numFmt numFmtId="1" formatCode="0"/>
    </dxf>
    <dxf>
      <numFmt numFmtId="1" formatCode="0"/>
    </dxf>
    <dxf>
      <numFmt numFmtId="164" formatCode="&quot;$&quot;#,##0.00"/>
    </dxf>
    <dxf>
      <font>
        <b/>
        <i val="0"/>
        <color theme="0"/>
      </font>
      <fill>
        <patternFill>
          <bgColor theme="4" tint="-0.499984740745262"/>
        </patternFill>
      </fill>
    </dxf>
    <dxf>
      <font>
        <sz val="10"/>
        <name val="Calibri"/>
        <family val="2"/>
        <scheme val="minor"/>
      </font>
      <fill>
        <patternFill patternType="solid">
          <bgColor theme="2" tint="-0.89996032593768116"/>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10" xr9:uid="{5AFBECF1-0CF6-46C9-99B7-DDE55213D0BF}">
      <tableStyleElement type="wholeTable" dxfId="6"/>
      <tableStyleElement type="headerRow" dxfId="5"/>
    </tableStyle>
  </tableStyles>
  <colors>
    <mruColors>
      <color rgb="FFE08CCE"/>
      <color rgb="FFFCAAFE"/>
    </mruColors>
  </colors>
  <extLst>
    <ext xmlns:x14="http://schemas.microsoft.com/office/spreadsheetml/2009/9/main" uri="{46F421CA-312F-682f-3DD2-61675219B42D}">
      <x14:dxfs count="8">
        <dxf>
          <font>
            <b val="0"/>
            <i/>
          </font>
          <fill>
            <patternFill>
              <bgColor theme="4" tint="-0.24994659260841701"/>
            </patternFill>
          </fill>
          <border diagonalUp="0" diagonalDown="0">
            <left/>
            <right/>
            <top/>
            <bottom/>
            <vertical/>
            <horizontal/>
          </border>
        </dxf>
        <dxf>
          <font>
            <b val="0"/>
            <i/>
          </font>
          <fill>
            <patternFill>
              <bgColor theme="0" tint="-0.34998626667073579"/>
            </patternFill>
          </fill>
          <border diagonalUp="0" diagonalDown="0">
            <left/>
            <right/>
            <top/>
            <bottom/>
            <vertical/>
            <horizontal/>
          </border>
        </dxf>
        <dxf>
          <font>
            <b val="0"/>
            <i/>
          </font>
          <fill>
            <patternFill>
              <bgColor theme="4" tint="-0.24994659260841701"/>
            </patternFill>
          </fill>
        </dxf>
        <dxf>
          <font>
            <b val="0"/>
            <i/>
          </font>
          <fill>
            <patternFill>
              <bgColor theme="0" tint="-0.34998626667073579"/>
            </patternFill>
          </fill>
          <border diagonalUp="0" diagonalDown="0">
            <left/>
            <right/>
            <top/>
            <bottom/>
            <vertical/>
            <horizontal/>
          </border>
        </dxf>
        <dxf>
          <font>
            <b val="0"/>
            <i val="0"/>
          </font>
          <fill>
            <patternFill>
              <bgColor theme="4" tint="-0.24994659260841701"/>
            </patternFill>
          </fill>
        </dxf>
        <dxf>
          <font>
            <b val="0"/>
            <i val="0"/>
            <color theme="0"/>
          </font>
          <fill>
            <patternFill>
              <bgColor theme="4" tint="-0.24994659260841701"/>
            </patternFill>
          </fill>
        </dxf>
        <dxf>
          <fill>
            <patternFill>
              <bgColor theme="0" tint="-0.34998626667073579"/>
            </patternFill>
          </fill>
        </dxf>
        <dxf>
          <fill>
            <patternFill>
              <bgColor theme="0" tint="-0.3499862666707357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styles" Target="style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1.xml"/><Relationship Id="rId15" Type="http://schemas.microsoft.com/office/2007/relationships/slicerCache" Target="slicerCaches/slicerCache4.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6.xml"/><Relationship Id="rId19" Type="http://schemas.openxmlformats.org/officeDocument/2006/relationships/sharedStrings" Target="sharedString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3.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microsoft.com/office/2007/relationships/slicerCache" Target="slicerCaches/slicerCache1.xml"/><Relationship Id="rId17" Type="http://schemas.openxmlformats.org/officeDocument/2006/relationships/connections" Target="connections.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microsoft.com/office/2006/relationships/vbaProject" Target="vbaProject.bin"/><Relationship Id="rId20" Type="http://schemas.openxmlformats.org/officeDocument/2006/relationships/sheetMetadata" Target="metadata.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Analysis.xlsm]PTables!GenderTable</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 Breakout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E08CCE"/>
          </a:solidFill>
          <a:ln w="19050">
            <a:solidFill>
              <a:schemeClr val="lt1"/>
            </a:solidFill>
          </a:ln>
          <a:effectLst/>
        </c:spPr>
      </c:pivotFmt>
      <c:pivotFmt>
        <c:idx val="12"/>
        <c:spPr>
          <a:solidFill>
            <a:srgbClr val="0070C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0070C0"/>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E08CCE"/>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E08CCE"/>
          </a:solidFill>
          <a:ln w="19050">
            <a:solidFill>
              <a:schemeClr val="lt1"/>
            </a:solidFill>
          </a:ln>
          <a:effectLst/>
        </c:spPr>
      </c:pivotFmt>
      <c:pivotFmt>
        <c:idx val="22"/>
        <c:spPr>
          <a:solidFill>
            <a:schemeClr val="bg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08CCE"/>
          </a:solidFill>
          <a:ln w="19050">
            <a:solidFill>
              <a:schemeClr val="lt1"/>
            </a:solidFill>
          </a:ln>
          <a:effectLst/>
        </c:spPr>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bg1"/>
          </a:solidFill>
          <a:ln w="19050">
            <a:solidFill>
              <a:schemeClr val="lt1"/>
            </a:solidFill>
          </a:ln>
          <a:effectLst/>
        </c:spPr>
      </c:pivotFmt>
    </c:pivotFmts>
    <c:plotArea>
      <c:layout/>
      <c:barChart>
        <c:barDir val="col"/>
        <c:grouping val="stacked"/>
        <c:varyColors val="0"/>
        <c:ser>
          <c:idx val="0"/>
          <c:order val="0"/>
          <c:tx>
            <c:strRef>
              <c:f>PTables!$B$15:$B$16</c:f>
              <c:strCache>
                <c:ptCount val="1"/>
                <c:pt idx="0">
                  <c:v>No</c:v>
                </c:pt>
              </c:strCache>
            </c:strRef>
          </c:tx>
          <c:spPr>
            <a:solidFill>
              <a:schemeClr val="accent1"/>
            </a:solidFill>
            <a:ln w="19050">
              <a:solidFill>
                <a:schemeClr val="lt1"/>
              </a:solidFill>
            </a:ln>
            <a:effectLst/>
          </c:spPr>
          <c:invertIfNegative val="0"/>
          <c:dPt>
            <c:idx val="0"/>
            <c:invertIfNegative val="0"/>
            <c:bubble3D val="0"/>
            <c:spPr>
              <a:solidFill>
                <a:srgbClr val="E08CCE"/>
              </a:solidFill>
              <a:ln w="19050">
                <a:solidFill>
                  <a:schemeClr val="lt1"/>
                </a:solidFill>
              </a:ln>
              <a:effectLst/>
            </c:spPr>
            <c:extLst>
              <c:ext xmlns:c16="http://schemas.microsoft.com/office/drawing/2014/chart" uri="{C3380CC4-5D6E-409C-BE32-E72D297353CC}">
                <c16:uniqueId val="{0000000B-F3C7-43C6-B8DB-BF8FDCE33D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PTables!$B$17:$B$19</c:f>
              <c:numCache>
                <c:formatCode>General</c:formatCode>
                <c:ptCount val="2"/>
                <c:pt idx="0">
                  <c:v>250</c:v>
                </c:pt>
                <c:pt idx="1">
                  <c:v>269</c:v>
                </c:pt>
              </c:numCache>
            </c:numRef>
          </c:val>
          <c:extLst>
            <c:ext xmlns:c16="http://schemas.microsoft.com/office/drawing/2014/chart" uri="{C3380CC4-5D6E-409C-BE32-E72D297353CC}">
              <c16:uniqueId val="{0000000A-F3C7-43C6-B8DB-BF8FDCE33DD6}"/>
            </c:ext>
          </c:extLst>
        </c:ser>
        <c:ser>
          <c:idx val="1"/>
          <c:order val="1"/>
          <c:tx>
            <c:strRef>
              <c:f>PTables!$C$15:$C$16</c:f>
              <c:strCache>
                <c:ptCount val="1"/>
                <c:pt idx="0">
                  <c:v>Yes</c:v>
                </c:pt>
              </c:strCache>
            </c:strRef>
          </c:tx>
          <c:spPr>
            <a:solidFill>
              <a:schemeClr val="bg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PTables!$A$17:$A$19</c:f>
              <c:strCache>
                <c:ptCount val="2"/>
                <c:pt idx="0">
                  <c:v>Female</c:v>
                </c:pt>
                <c:pt idx="1">
                  <c:v>Male</c:v>
                </c:pt>
              </c:strCache>
            </c:strRef>
          </c:cat>
          <c:val>
            <c:numRef>
              <c:f>PTables!$C$17:$C$19</c:f>
              <c:numCache>
                <c:formatCode>General</c:formatCode>
                <c:ptCount val="2"/>
                <c:pt idx="0">
                  <c:v>239</c:v>
                </c:pt>
                <c:pt idx="1">
                  <c:v>242</c:v>
                </c:pt>
              </c:numCache>
            </c:numRef>
          </c:val>
          <c:extLst>
            <c:ext xmlns:c16="http://schemas.microsoft.com/office/drawing/2014/chart" uri="{C3380CC4-5D6E-409C-BE32-E72D297353CC}">
              <c16:uniqueId val="{0000000C-F3C7-43C6-B8DB-BF8FDCE33DD6}"/>
            </c:ext>
          </c:extLst>
        </c:ser>
        <c:dLbls>
          <c:showLegendKey val="0"/>
          <c:showVal val="0"/>
          <c:showCatName val="0"/>
          <c:showSerName val="0"/>
          <c:showPercent val="0"/>
          <c:showBubbleSize val="0"/>
        </c:dLbls>
        <c:gapWidth val="100"/>
        <c:overlap val="100"/>
        <c:axId val="396097711"/>
        <c:axId val="396100591"/>
      </c:barChart>
      <c:catAx>
        <c:axId val="39609771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100591"/>
        <c:crosses val="autoZero"/>
        <c:auto val="1"/>
        <c:lblAlgn val="ctr"/>
        <c:lblOffset val="100"/>
        <c:noMultiLvlLbl val="0"/>
      </c:catAx>
      <c:valAx>
        <c:axId val="396100591"/>
        <c:scaling>
          <c:orientation val="minMax"/>
        </c:scaling>
        <c:delete val="0"/>
        <c:axPos val="l"/>
        <c:majorGridlines>
          <c:spPr>
            <a:ln w="9525" cap="flat" cmpd="sng" algn="ctr">
              <a:solidFill>
                <a:schemeClr val="tx1">
                  <a:lumMod val="15000"/>
                  <a:lumOff val="85000"/>
                  <a:alpha val="50000"/>
                </a:schemeClr>
              </a:solidFill>
              <a:prstDash val="dash"/>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097711"/>
        <c:crosses val="autoZero"/>
        <c:crossBetween val="between"/>
      </c:valAx>
      <c:spPr>
        <a:noFill/>
        <a:ln>
          <a:noFill/>
        </a:ln>
        <a:effectLst/>
      </c:spPr>
    </c:plotArea>
    <c:legend>
      <c:legendPos val="r"/>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Analysis.xlsm]PTables!ChildrenIncomeTable</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House</a:t>
            </a:r>
            <a:r>
              <a:rPr lang="en-US" baseline="0"/>
              <a:t>hold Size and Income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190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PTables!$B$1:$B$3</c:f>
              <c:strCache>
                <c:ptCount val="1"/>
                <c:pt idx="0">
                  <c:v>No - Count of Purchased Bike</c:v>
                </c:pt>
              </c:strCache>
            </c:strRef>
          </c:tx>
          <c:spPr>
            <a:solidFill>
              <a:schemeClr val="accent1"/>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PTables!$B$4:$B$10</c:f>
              <c:numCache>
                <c:formatCode>General</c:formatCode>
                <c:ptCount val="6"/>
                <c:pt idx="0">
                  <c:v>139</c:v>
                </c:pt>
                <c:pt idx="1">
                  <c:v>72</c:v>
                </c:pt>
                <c:pt idx="2">
                  <c:v>112</c:v>
                </c:pt>
                <c:pt idx="3">
                  <c:v>61</c:v>
                </c:pt>
                <c:pt idx="4">
                  <c:v>72</c:v>
                </c:pt>
                <c:pt idx="5">
                  <c:v>63</c:v>
                </c:pt>
              </c:numCache>
            </c:numRef>
          </c:val>
          <c:extLst>
            <c:ext xmlns:c16="http://schemas.microsoft.com/office/drawing/2014/chart" uri="{C3380CC4-5D6E-409C-BE32-E72D297353CC}">
              <c16:uniqueId val="{00000000-CB8F-44BE-B8DB-56EF124FA08E}"/>
            </c:ext>
          </c:extLst>
        </c:ser>
        <c:ser>
          <c:idx val="2"/>
          <c:order val="2"/>
          <c:tx>
            <c:strRef>
              <c:f>PTables!$D$1:$D$3</c:f>
              <c:strCache>
                <c:ptCount val="1"/>
                <c:pt idx="0">
                  <c:v>Yes - Count of Purchased Bike</c:v>
                </c:pt>
              </c:strCache>
            </c:strRef>
          </c:tx>
          <c:spPr>
            <a:solidFill>
              <a:schemeClr val="bg1"/>
            </a:solidFill>
            <a:ln>
              <a:noFill/>
            </a:ln>
            <a:effectLst/>
          </c:spPr>
          <c:invertIfNegative val="0"/>
          <c:cat>
            <c:strRef>
              <c:f>PTables!$A$4:$A$10</c:f>
              <c:strCache>
                <c:ptCount val="6"/>
                <c:pt idx="0">
                  <c:v>0</c:v>
                </c:pt>
                <c:pt idx="1">
                  <c:v>1</c:v>
                </c:pt>
                <c:pt idx="2">
                  <c:v>2</c:v>
                </c:pt>
                <c:pt idx="3">
                  <c:v>3</c:v>
                </c:pt>
                <c:pt idx="4">
                  <c:v>4</c:v>
                </c:pt>
                <c:pt idx="5">
                  <c:v>5</c:v>
                </c:pt>
              </c:strCache>
            </c:strRef>
          </c:cat>
          <c:val>
            <c:numRef>
              <c:f>PTables!$D$4:$D$10</c:f>
              <c:numCache>
                <c:formatCode>General</c:formatCode>
                <c:ptCount val="6"/>
                <c:pt idx="0">
                  <c:v>142</c:v>
                </c:pt>
                <c:pt idx="1">
                  <c:v>97</c:v>
                </c:pt>
                <c:pt idx="2">
                  <c:v>97</c:v>
                </c:pt>
                <c:pt idx="3">
                  <c:v>73</c:v>
                </c:pt>
                <c:pt idx="4">
                  <c:v>54</c:v>
                </c:pt>
                <c:pt idx="5">
                  <c:v>18</c:v>
                </c:pt>
              </c:numCache>
            </c:numRef>
          </c:val>
          <c:extLst>
            <c:ext xmlns:c16="http://schemas.microsoft.com/office/drawing/2014/chart" uri="{C3380CC4-5D6E-409C-BE32-E72D297353CC}">
              <c16:uniqueId val="{00000001-CB8F-44BE-B8DB-56EF124FA08E}"/>
            </c:ext>
          </c:extLst>
        </c:ser>
        <c:dLbls>
          <c:showLegendKey val="0"/>
          <c:showVal val="0"/>
          <c:showCatName val="0"/>
          <c:showSerName val="0"/>
          <c:showPercent val="0"/>
          <c:showBubbleSize val="0"/>
        </c:dLbls>
        <c:gapWidth val="75"/>
        <c:axId val="1306216239"/>
        <c:axId val="1306231599"/>
      </c:barChart>
      <c:lineChart>
        <c:grouping val="standard"/>
        <c:varyColors val="0"/>
        <c:ser>
          <c:idx val="1"/>
          <c:order val="1"/>
          <c:tx>
            <c:strRef>
              <c:f>PTables!$C$1:$C$3</c:f>
              <c:strCache>
                <c:ptCount val="1"/>
                <c:pt idx="0">
                  <c:v>No - AverageIncome</c:v>
                </c:pt>
              </c:strCache>
            </c:strRef>
          </c:tx>
          <c:spPr>
            <a:ln w="28575" cap="rnd">
              <a:solidFill>
                <a:schemeClr val="accent2"/>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PTables!$C$4:$C$10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2-CB8F-44BE-B8DB-56EF124FA08E}"/>
            </c:ext>
          </c:extLst>
        </c:ser>
        <c:ser>
          <c:idx val="3"/>
          <c:order val="3"/>
          <c:tx>
            <c:strRef>
              <c:f>PTables!$E$1:$E$3</c:f>
              <c:strCache>
                <c:ptCount val="1"/>
                <c:pt idx="0">
                  <c:v>Yes - AverageIncome</c:v>
                </c:pt>
              </c:strCache>
            </c:strRef>
          </c:tx>
          <c:spPr>
            <a:ln w="19050" cap="rnd">
              <a:solidFill>
                <a:srgbClr val="FFC000"/>
              </a:solidFill>
              <a:round/>
            </a:ln>
            <a:effectLst/>
          </c:spPr>
          <c:marker>
            <c:symbol val="none"/>
          </c:marker>
          <c:cat>
            <c:strRef>
              <c:f>PTables!$A$4:$A$10</c:f>
              <c:strCache>
                <c:ptCount val="6"/>
                <c:pt idx="0">
                  <c:v>0</c:v>
                </c:pt>
                <c:pt idx="1">
                  <c:v>1</c:v>
                </c:pt>
                <c:pt idx="2">
                  <c:v>2</c:v>
                </c:pt>
                <c:pt idx="3">
                  <c:v>3</c:v>
                </c:pt>
                <c:pt idx="4">
                  <c:v>4</c:v>
                </c:pt>
                <c:pt idx="5">
                  <c:v>5</c:v>
                </c:pt>
              </c:strCache>
            </c:strRef>
          </c:cat>
          <c:val>
            <c:numRef>
              <c:f>PTables!$E$4:$E$10</c:f>
              <c:numCache>
                <c:formatCode>\$#,##0;\(\$#,##0\);\$#,##0</c:formatCode>
                <c:ptCount val="6"/>
                <c:pt idx="0">
                  <c:v>47900.355871886124</c:v>
                </c:pt>
                <c:pt idx="1">
                  <c:v>55325.44378698225</c:v>
                </c:pt>
                <c:pt idx="2">
                  <c:v>51052.631578947367</c:v>
                </c:pt>
                <c:pt idx="3">
                  <c:v>60074.626865671642</c:v>
                </c:pt>
                <c:pt idx="4">
                  <c:v>70952.380952380947</c:v>
                </c:pt>
                <c:pt idx="5">
                  <c:v>72716.049382716054</c:v>
                </c:pt>
              </c:numCache>
            </c:numRef>
          </c:val>
          <c:smooth val="0"/>
          <c:extLst>
            <c:ext xmlns:c16="http://schemas.microsoft.com/office/drawing/2014/chart" uri="{C3380CC4-5D6E-409C-BE32-E72D297353CC}">
              <c16:uniqueId val="{00000003-CB8F-44BE-B8DB-56EF124FA08E}"/>
            </c:ext>
          </c:extLst>
        </c:ser>
        <c:dLbls>
          <c:showLegendKey val="0"/>
          <c:showVal val="0"/>
          <c:showCatName val="0"/>
          <c:showSerName val="0"/>
          <c:showPercent val="0"/>
          <c:showBubbleSize val="0"/>
        </c:dLbls>
        <c:marker val="1"/>
        <c:smooth val="0"/>
        <c:axId val="1306222959"/>
        <c:axId val="1306215279"/>
      </c:lineChart>
      <c:catAx>
        <c:axId val="1306216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31599"/>
        <c:crosses val="autoZero"/>
        <c:auto val="1"/>
        <c:lblAlgn val="ctr"/>
        <c:lblOffset val="100"/>
        <c:noMultiLvlLbl val="0"/>
      </c:catAx>
      <c:valAx>
        <c:axId val="13062315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16239"/>
        <c:crosses val="autoZero"/>
        <c:crossBetween val="between"/>
      </c:valAx>
      <c:valAx>
        <c:axId val="13062152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222959"/>
        <c:crosses val="max"/>
        <c:crossBetween val="between"/>
      </c:valAx>
      <c:catAx>
        <c:axId val="1306222959"/>
        <c:scaling>
          <c:orientation val="minMax"/>
        </c:scaling>
        <c:delete val="1"/>
        <c:axPos val="b"/>
        <c:numFmt formatCode="General" sourceLinked="1"/>
        <c:majorTickMark val="out"/>
        <c:minorTickMark val="none"/>
        <c:tickLblPos val="nextTo"/>
        <c:crossAx val="1306215279"/>
        <c:crosses val="autoZero"/>
        <c:auto val="1"/>
        <c:lblAlgn val="ctr"/>
        <c:lblOffset val="100"/>
        <c:noMultiLvlLbl val="0"/>
      </c:cat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legendEntry>
        <c:idx val="2"/>
        <c:delete val="1"/>
      </c:legendEntry>
      <c:legendEntry>
        <c:idx val="3"/>
        <c:delete val="1"/>
      </c:legendEntry>
      <c:overlay val="0"/>
      <c:spPr>
        <a:solidFill>
          <a:schemeClr val="bg1">
            <a:lumMod val="65000"/>
          </a:schemeClr>
        </a:solidFill>
        <a:ln>
          <a:noFill/>
          <a:extLst>
            <a:ext uri="{C807C97D-BFC1-408E-A445-0C87EB9F89A2}">
              <ask:lineSketchStyleProps xmlns:ask="http://schemas.microsoft.com/office/drawing/2018/sketchyshapes">
                <ask:type>
                  <ask:lineSketchScribble/>
                </ask:type>
              </ask:lineSketchStyleProps>
            </a:ext>
          </a:extLst>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Analysis.xlsm]PTables!Commute Distance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i="0"/>
              <a:t>Commute Distance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PTables!$B$23:$B$24</c:f>
              <c:strCache>
                <c:ptCount val="1"/>
                <c:pt idx="0">
                  <c:v>No</c:v>
                </c:pt>
              </c:strCache>
            </c:strRef>
          </c:tx>
          <c:spPr>
            <a:solidFill>
              <a:schemeClr val="accent1"/>
            </a:solidFill>
            <a:ln>
              <a:noFill/>
            </a:ln>
            <a:effectLst/>
          </c:spPr>
          <c:invertIfNegative val="0"/>
          <c:cat>
            <c:strRef>
              <c:f>PTables!$A$25:$A$30</c:f>
              <c:strCache>
                <c:ptCount val="5"/>
                <c:pt idx="0">
                  <c:v>At least 10 miles</c:v>
                </c:pt>
                <c:pt idx="1">
                  <c:v>5-10 Miles</c:v>
                </c:pt>
                <c:pt idx="2">
                  <c:v>2-5 Miles</c:v>
                </c:pt>
                <c:pt idx="3">
                  <c:v>1-2 Miles</c:v>
                </c:pt>
                <c:pt idx="4">
                  <c:v>0-1 Miles</c:v>
                </c:pt>
              </c:strCache>
            </c:strRef>
          </c:cat>
          <c:val>
            <c:numRef>
              <c:f>PTables!$B$25:$B$30</c:f>
              <c:numCache>
                <c:formatCode>General</c:formatCode>
                <c:ptCount val="5"/>
                <c:pt idx="0">
                  <c:v>78</c:v>
                </c:pt>
                <c:pt idx="1">
                  <c:v>116</c:v>
                </c:pt>
                <c:pt idx="2">
                  <c:v>67</c:v>
                </c:pt>
                <c:pt idx="3">
                  <c:v>92</c:v>
                </c:pt>
                <c:pt idx="4">
                  <c:v>166</c:v>
                </c:pt>
              </c:numCache>
            </c:numRef>
          </c:val>
          <c:extLst>
            <c:ext xmlns:c16="http://schemas.microsoft.com/office/drawing/2014/chart" uri="{C3380CC4-5D6E-409C-BE32-E72D297353CC}">
              <c16:uniqueId val="{00000000-65DB-4642-BC5E-97095807B690}"/>
            </c:ext>
          </c:extLst>
        </c:ser>
        <c:ser>
          <c:idx val="1"/>
          <c:order val="1"/>
          <c:tx>
            <c:strRef>
              <c:f>PTables!$C$23:$C$24</c:f>
              <c:strCache>
                <c:ptCount val="1"/>
                <c:pt idx="0">
                  <c:v>Yes</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PTables!$A$25:$A$30</c:f>
              <c:strCache>
                <c:ptCount val="5"/>
                <c:pt idx="0">
                  <c:v>At least 10 miles</c:v>
                </c:pt>
                <c:pt idx="1">
                  <c:v>5-10 Miles</c:v>
                </c:pt>
                <c:pt idx="2">
                  <c:v>2-5 Miles</c:v>
                </c:pt>
                <c:pt idx="3">
                  <c:v>1-2 Miles</c:v>
                </c:pt>
                <c:pt idx="4">
                  <c:v>0-1 Miles</c:v>
                </c:pt>
              </c:strCache>
            </c:strRef>
          </c:cat>
          <c:val>
            <c:numRef>
              <c:f>PTables!$C$25:$C$30</c:f>
              <c:numCache>
                <c:formatCode>General</c:formatCode>
                <c:ptCount val="5"/>
                <c:pt idx="0">
                  <c:v>33</c:v>
                </c:pt>
                <c:pt idx="1">
                  <c:v>76</c:v>
                </c:pt>
                <c:pt idx="2">
                  <c:v>95</c:v>
                </c:pt>
                <c:pt idx="3">
                  <c:v>77</c:v>
                </c:pt>
                <c:pt idx="4">
                  <c:v>200</c:v>
                </c:pt>
              </c:numCache>
            </c:numRef>
          </c:val>
          <c:extLst>
            <c:ext xmlns:c16="http://schemas.microsoft.com/office/drawing/2014/chart" uri="{C3380CC4-5D6E-409C-BE32-E72D297353CC}">
              <c16:uniqueId val="{00000001-65DB-4642-BC5E-97095807B690}"/>
            </c:ext>
          </c:extLst>
        </c:ser>
        <c:dLbls>
          <c:showLegendKey val="0"/>
          <c:showVal val="0"/>
          <c:showCatName val="0"/>
          <c:showSerName val="0"/>
          <c:showPercent val="0"/>
          <c:showBubbleSize val="0"/>
        </c:dLbls>
        <c:gapWidth val="150"/>
        <c:overlap val="100"/>
        <c:axId val="497598399"/>
        <c:axId val="497599359"/>
      </c:barChart>
      <c:catAx>
        <c:axId val="497598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9359"/>
        <c:crosses val="autoZero"/>
        <c:auto val="1"/>
        <c:lblAlgn val="ctr"/>
        <c:lblOffset val="100"/>
        <c:noMultiLvlLbl val="0"/>
      </c:catAx>
      <c:valAx>
        <c:axId val="497599359"/>
        <c:scaling>
          <c:orientation val="minMax"/>
        </c:scaling>
        <c:delete val="0"/>
        <c:axPos val="b"/>
        <c:majorGridlines>
          <c:spPr>
            <a:ln w="9525" cap="flat" cmpd="sng" algn="ctr">
              <a:solidFill>
                <a:schemeClr val="bg1">
                  <a:lumMod val="75000"/>
                  <a:alpha val="50000"/>
                </a:schemeClr>
              </a:solidFill>
              <a:prstDash val="dash"/>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598399"/>
        <c:crosses val="autoZero"/>
        <c:crossBetween val="between"/>
      </c:valAx>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Analysis.xlsm]PTables!AgeGroupTable</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Based Patterns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PTables!$B$33:$B$34</c:f>
              <c:strCache>
                <c:ptCount val="1"/>
                <c:pt idx="0">
                  <c:v>No</c:v>
                </c:pt>
              </c:strCache>
            </c:strRef>
          </c:tx>
          <c:spPr>
            <a:solidFill>
              <a:schemeClr val="accent1"/>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PTables!$B$35:$B$39</c:f>
              <c:numCache>
                <c:formatCode>General</c:formatCode>
                <c:ptCount val="4"/>
                <c:pt idx="0">
                  <c:v>48</c:v>
                </c:pt>
                <c:pt idx="1">
                  <c:v>122</c:v>
                </c:pt>
                <c:pt idx="2">
                  <c:v>307</c:v>
                </c:pt>
                <c:pt idx="3">
                  <c:v>42</c:v>
                </c:pt>
              </c:numCache>
            </c:numRef>
          </c:val>
          <c:extLst>
            <c:ext xmlns:c16="http://schemas.microsoft.com/office/drawing/2014/chart" uri="{C3380CC4-5D6E-409C-BE32-E72D297353CC}">
              <c16:uniqueId val="{00000000-895F-4A00-9B7B-4A8A3710F107}"/>
            </c:ext>
          </c:extLst>
        </c:ser>
        <c:ser>
          <c:idx val="1"/>
          <c:order val="1"/>
          <c:tx>
            <c:strRef>
              <c:f>PTables!$C$33:$C$34</c:f>
              <c:strCache>
                <c:ptCount val="1"/>
                <c:pt idx="0">
                  <c:v>Yes</c:v>
                </c:pt>
              </c:strCache>
            </c:strRef>
          </c:tx>
          <c:spPr>
            <a:solidFill>
              <a:schemeClr val="bg1">
                <a:lumMod val="95000"/>
              </a:schemeClr>
            </a:solidFill>
            <a:ln>
              <a:noFill/>
            </a:ln>
            <a:effectLst/>
          </c:spPr>
          <c:invertIfNegative val="0"/>
          <c:cat>
            <c:strRef>
              <c:f>PTables!$A$35:$A$39</c:f>
              <c:strCache>
                <c:ptCount val="4"/>
                <c:pt idx="0">
                  <c:v>Below 30</c:v>
                </c:pt>
                <c:pt idx="1">
                  <c:v>In the 30s</c:v>
                </c:pt>
                <c:pt idx="2">
                  <c:v>Middle Aged</c:v>
                </c:pt>
                <c:pt idx="3">
                  <c:v>Retirement Age</c:v>
                </c:pt>
              </c:strCache>
            </c:strRef>
          </c:cat>
          <c:val>
            <c:numRef>
              <c:f>PTables!$C$35:$C$39</c:f>
              <c:numCache>
                <c:formatCode>General</c:formatCode>
                <c:ptCount val="4"/>
                <c:pt idx="0">
                  <c:v>35</c:v>
                </c:pt>
                <c:pt idx="1">
                  <c:v>179</c:v>
                </c:pt>
                <c:pt idx="2">
                  <c:v>250</c:v>
                </c:pt>
                <c:pt idx="3">
                  <c:v>17</c:v>
                </c:pt>
              </c:numCache>
            </c:numRef>
          </c:val>
          <c:extLst>
            <c:ext xmlns:c16="http://schemas.microsoft.com/office/drawing/2014/chart" uri="{C3380CC4-5D6E-409C-BE32-E72D297353CC}">
              <c16:uniqueId val="{00000001-895F-4A00-9B7B-4A8A3710F107}"/>
            </c:ext>
          </c:extLst>
        </c:ser>
        <c:dLbls>
          <c:showLegendKey val="0"/>
          <c:showVal val="0"/>
          <c:showCatName val="0"/>
          <c:showSerName val="0"/>
          <c:showPercent val="0"/>
          <c:showBubbleSize val="0"/>
        </c:dLbls>
        <c:gapWidth val="219"/>
        <c:overlap val="-27"/>
        <c:axId val="238959327"/>
        <c:axId val="238957407"/>
      </c:barChart>
      <c:catAx>
        <c:axId val="238959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7407"/>
        <c:crosses val="autoZero"/>
        <c:auto val="1"/>
        <c:lblAlgn val="ctr"/>
        <c:lblOffset val="100"/>
        <c:noMultiLvlLbl val="0"/>
      </c:catAx>
      <c:valAx>
        <c:axId val="238957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959327"/>
        <c:crosses val="autoZero"/>
        <c:crossBetween val="between"/>
      </c:valAx>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bg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BE4-45BE-BB7E-602FD38D3A2B}"/>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3-2BE4-45BE-BB7E-602FD38D3A2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4-2BE4-45BE-BB7E-602FD38D3A2B}"/>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b"/>
      <c:overlay val="0"/>
      <c:spPr>
        <a:solidFill>
          <a:schemeClr val="bg1">
            <a:lumMod val="65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50000"/>
        <a:alpha val="3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Analysis.xlsm]PTables!PivotTable3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Decisions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PTables!$B$44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2C-435D-BC1C-B8F577BB29C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2C-435D-BC1C-B8F577BB29C1}"/>
              </c:ext>
            </c:extLst>
          </c:dPt>
          <c:cat>
            <c:strRef>
              <c:f>PTables!$A$45:$A$47</c:f>
              <c:strCache>
                <c:ptCount val="2"/>
                <c:pt idx="0">
                  <c:v>No</c:v>
                </c:pt>
                <c:pt idx="1">
                  <c:v>Yes</c:v>
                </c:pt>
              </c:strCache>
            </c:strRef>
          </c:cat>
          <c:val>
            <c:numRef>
              <c:f>PTables!$B$45:$B$47</c:f>
              <c:numCache>
                <c:formatCode>General</c:formatCode>
                <c:ptCount val="2"/>
                <c:pt idx="0">
                  <c:v>519</c:v>
                </c:pt>
                <c:pt idx="1">
                  <c:v>481</c:v>
                </c:pt>
              </c:numCache>
            </c:numRef>
          </c:val>
          <c:extLst>
            <c:ext xmlns:c16="http://schemas.microsoft.com/office/drawing/2014/chart" uri="{C3380CC4-5D6E-409C-BE32-E72D297353CC}">
              <c16:uniqueId val="{00000000-E36C-4EF8-BB5D-C24C52810E0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plotArea>
      <cx:plotAreaRegion/>
    </cx:plotArea>
  </cx:chart>
</cx: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9</xdr:col>
      <xdr:colOff>170055</xdr:colOff>
      <xdr:row>2</xdr:row>
      <xdr:rowOff>80478</xdr:rowOff>
    </xdr:from>
    <xdr:to>
      <xdr:col>14</xdr:col>
      <xdr:colOff>201431</xdr:colOff>
      <xdr:row>16</xdr:row>
      <xdr:rowOff>156678</xdr:rowOff>
    </xdr:to>
    <xdr:graphicFrame macro="">
      <xdr:nvGraphicFramePr>
        <xdr:cNvPr id="16" name="Gender Breakout">
          <a:extLst>
            <a:ext uri="{FF2B5EF4-FFF2-40B4-BE49-F238E27FC236}">
              <a16:creationId xmlns:a16="http://schemas.microsoft.com/office/drawing/2014/main" id="{3EE31682-0E37-450E-9F94-705E407EE8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27214</xdr:colOff>
      <xdr:row>9</xdr:row>
      <xdr:rowOff>136002</xdr:rowOff>
    </xdr:from>
    <xdr:to>
      <xdr:col>3</xdr:col>
      <xdr:colOff>417179</xdr:colOff>
      <xdr:row>15</xdr:row>
      <xdr:rowOff>44562</xdr:rowOff>
    </xdr:to>
    <mc:AlternateContent xmlns:mc="http://schemas.openxmlformats.org/markup-compatibility/2006" xmlns:a14="http://schemas.microsoft.com/office/drawing/2010/main">
      <mc:Choice Requires="a14">
        <xdr:graphicFrame macro="">
          <xdr:nvGraphicFramePr>
            <xdr:cNvPr id="17" name="Marital Status">
              <a:extLst>
                <a:ext uri="{FF2B5EF4-FFF2-40B4-BE49-F238E27FC236}">
                  <a16:creationId xmlns:a16="http://schemas.microsoft.com/office/drawing/2014/main" id="{3EA5542C-F32C-E54B-602D-867A59AE02BE}"/>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639535" y="2258716"/>
              <a:ext cx="1614608" cy="10515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5077</xdr:colOff>
      <xdr:row>17</xdr:row>
      <xdr:rowOff>44074</xdr:rowOff>
    </xdr:from>
    <xdr:to>
      <xdr:col>14</xdr:col>
      <xdr:colOff>204108</xdr:colOff>
      <xdr:row>35</xdr:row>
      <xdr:rowOff>298287</xdr:rowOff>
    </xdr:to>
    <xdr:graphicFrame macro="">
      <xdr:nvGraphicFramePr>
        <xdr:cNvPr id="18" name="Chart 17">
          <a:extLst>
            <a:ext uri="{FF2B5EF4-FFF2-40B4-BE49-F238E27FC236}">
              <a16:creationId xmlns:a16="http://schemas.microsoft.com/office/drawing/2014/main" id="{A409DF96-37A7-4E7F-B0D4-5601D51B71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288223</xdr:colOff>
      <xdr:row>2</xdr:row>
      <xdr:rowOff>81497</xdr:rowOff>
    </xdr:from>
    <xdr:to>
      <xdr:col>18</xdr:col>
      <xdr:colOff>975111</xdr:colOff>
      <xdr:row>21</xdr:row>
      <xdr:rowOff>119597</xdr:rowOff>
    </xdr:to>
    <xdr:graphicFrame macro="">
      <xdr:nvGraphicFramePr>
        <xdr:cNvPr id="2" name="Chart 1">
          <a:extLst>
            <a:ext uri="{FF2B5EF4-FFF2-40B4-BE49-F238E27FC236}">
              <a16:creationId xmlns:a16="http://schemas.microsoft.com/office/drawing/2014/main" id="{0ADD204A-3415-4A5F-8C3E-393CC13D28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470370</xdr:colOff>
      <xdr:row>2</xdr:row>
      <xdr:rowOff>80681</xdr:rowOff>
    </xdr:from>
    <xdr:to>
      <xdr:col>9</xdr:col>
      <xdr:colOff>65780</xdr:colOff>
      <xdr:row>16</xdr:row>
      <xdr:rowOff>156881</xdr:rowOff>
    </xdr:to>
    <xdr:graphicFrame macro="">
      <xdr:nvGraphicFramePr>
        <xdr:cNvPr id="4" name="Chart 3">
          <a:extLst>
            <a:ext uri="{FF2B5EF4-FFF2-40B4-BE49-F238E27FC236}">
              <a16:creationId xmlns:a16="http://schemas.microsoft.com/office/drawing/2014/main" id="{E9E5FC32-E4BF-438A-82D4-91D69B1A6B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288152</xdr:colOff>
      <xdr:row>22</xdr:row>
      <xdr:rowOff>800</xdr:rowOff>
    </xdr:from>
    <xdr:to>
      <xdr:col>18</xdr:col>
      <xdr:colOff>975040</xdr:colOff>
      <xdr:row>35</xdr:row>
      <xdr:rowOff>293113</xdr:rowOff>
    </xdr:to>
    <xdr:graphicFrame macro="">
      <xdr:nvGraphicFramePr>
        <xdr:cNvPr id="5" name="Chart 4">
          <a:extLst>
            <a:ext uri="{FF2B5EF4-FFF2-40B4-BE49-F238E27FC236}">
              <a16:creationId xmlns:a16="http://schemas.microsoft.com/office/drawing/2014/main" id="{6DA811D8-EAB5-4191-9808-7CE6E84B6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0</xdr:colOff>
      <xdr:row>15</xdr:row>
      <xdr:rowOff>153855</xdr:rowOff>
    </xdr:from>
    <xdr:to>
      <xdr:col>3</xdr:col>
      <xdr:colOff>389965</xdr:colOff>
      <xdr:row>25</xdr:row>
      <xdr:rowOff>77655</xdr:rowOff>
    </xdr:to>
    <mc:AlternateContent xmlns:mc="http://schemas.openxmlformats.org/markup-compatibility/2006" xmlns:a14="http://schemas.microsoft.com/office/drawing/2010/main">
      <mc:Choice Requires="a14">
        <xdr:graphicFrame macro="">
          <xdr:nvGraphicFramePr>
            <xdr:cNvPr id="6" name="Occupation">
              <a:extLst>
                <a:ext uri="{FF2B5EF4-FFF2-40B4-BE49-F238E27FC236}">
                  <a16:creationId xmlns:a16="http://schemas.microsoft.com/office/drawing/2014/main" id="{9FEA12FE-2164-98AB-B0CE-2CF40A4B46A2}"/>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612321" y="3419569"/>
              <a:ext cx="1614608"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25</xdr:row>
      <xdr:rowOff>151965</xdr:rowOff>
    </xdr:from>
    <xdr:to>
      <xdr:col>3</xdr:col>
      <xdr:colOff>389965</xdr:colOff>
      <xdr:row>35</xdr:row>
      <xdr:rowOff>109381</xdr:rowOff>
    </xdr:to>
    <mc:AlternateContent xmlns:mc="http://schemas.openxmlformats.org/markup-compatibility/2006" xmlns:a14="http://schemas.microsoft.com/office/drawing/2010/main">
      <mc:Choice Requires="a14">
        <xdr:graphicFrame macro="">
          <xdr:nvGraphicFramePr>
            <xdr:cNvPr id="7" name="Education">
              <a:extLst>
                <a:ext uri="{FF2B5EF4-FFF2-40B4-BE49-F238E27FC236}">
                  <a16:creationId xmlns:a16="http://schemas.microsoft.com/office/drawing/2014/main" id="{25504CA6-A2EC-D4B1-7111-CB1E7E9AD26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612321" y="5322679"/>
              <a:ext cx="1614608" cy="18215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27215</xdr:colOff>
      <xdr:row>2</xdr:row>
      <xdr:rowOff>81394</xdr:rowOff>
    </xdr:from>
    <xdr:to>
      <xdr:col>3</xdr:col>
      <xdr:colOff>417180</xdr:colOff>
      <xdr:row>9</xdr:row>
      <xdr:rowOff>28054</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7BA91348-230F-2C77-A797-6FEB8224B84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39536" y="870608"/>
              <a:ext cx="1614608"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22411</xdr:colOff>
      <xdr:row>0</xdr:row>
      <xdr:rowOff>235324</xdr:rowOff>
    </xdr:from>
    <xdr:to>
      <xdr:col>18</xdr:col>
      <xdr:colOff>997324</xdr:colOff>
      <xdr:row>2</xdr:row>
      <xdr:rowOff>0</xdr:rowOff>
    </xdr:to>
    <xdr:sp macro="" textlink="">
      <xdr:nvSpPr>
        <xdr:cNvPr id="9" name="TextBox 8">
          <a:extLst>
            <a:ext uri="{FF2B5EF4-FFF2-40B4-BE49-F238E27FC236}">
              <a16:creationId xmlns:a16="http://schemas.microsoft.com/office/drawing/2014/main" id="{4F7E0134-5D3F-7D5E-4C2E-F077A0976249}"/>
            </a:ext>
          </a:extLst>
        </xdr:cNvPr>
        <xdr:cNvSpPr txBox="1"/>
      </xdr:nvSpPr>
      <xdr:spPr>
        <a:xfrm>
          <a:off x="634732" y="235324"/>
          <a:ext cx="10935342" cy="553890"/>
        </a:xfrm>
        <a:prstGeom prst="rect">
          <a:avLst/>
        </a:prstGeom>
        <a:solidFill>
          <a:schemeClr val="accent1">
            <a:lumMod val="7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0" i="1" kern="1200" cap="none" spc="0">
              <a:ln w="0"/>
              <a:solidFill>
                <a:schemeClr val="bg2"/>
              </a:solidFill>
              <a:effectLst>
                <a:outerShdw blurRad="63500" sx="102000" sy="102000" algn="ctr" rotWithShape="0">
                  <a:prstClr val="black">
                    <a:alpha val="40000"/>
                  </a:prstClr>
                </a:outerShdw>
              </a:effectLst>
            </a:rPr>
            <a:t>Bike Sales Report</a:t>
          </a:r>
        </a:p>
      </xdr:txBody>
    </xdr:sp>
    <xdr:clientData/>
  </xdr:twoCellAnchor>
  <xdr:twoCellAnchor editAs="oneCell">
    <xdr:from>
      <xdr:col>18</xdr:col>
      <xdr:colOff>517070</xdr:colOff>
      <xdr:row>1</xdr:row>
      <xdr:rowOff>136071</xdr:rowOff>
    </xdr:from>
    <xdr:to>
      <xdr:col>18</xdr:col>
      <xdr:colOff>802820</xdr:colOff>
      <xdr:row>1</xdr:row>
      <xdr:rowOff>421821</xdr:rowOff>
    </xdr:to>
    <xdr:pic macro="[0]!Sheet4.UpdatePTables">
      <xdr:nvPicPr>
        <xdr:cNvPr id="12" name="Graphic 11" descr="Repeat outline">
          <a:extLst>
            <a:ext uri="{FF2B5EF4-FFF2-40B4-BE49-F238E27FC236}">
              <a16:creationId xmlns:a16="http://schemas.microsoft.com/office/drawing/2014/main" id="{4CF01FF0-4FAE-AC74-8D0E-528B630F49B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089820" y="381000"/>
          <a:ext cx="285750" cy="285750"/>
        </a:xfrm>
        <a:prstGeom prst="rect">
          <a:avLst/>
        </a:prstGeom>
        <a:effectLst>
          <a:outerShdw blurRad="63500" sx="102000" sy="102000" algn="ctr" rotWithShape="0">
            <a:prstClr val="black">
              <a:alpha val="40000"/>
            </a:prst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1447800</xdr:colOff>
      <xdr:row>30</xdr:row>
      <xdr:rowOff>123825</xdr:rowOff>
    </xdr:from>
    <xdr:to>
      <xdr:col>5</xdr:col>
      <xdr:colOff>971550</xdr:colOff>
      <xdr:row>45</xdr:row>
      <xdr:rowOff>9525</xdr:rowOff>
    </xdr:to>
    <xdr:graphicFrame macro="">
      <xdr:nvGraphicFramePr>
        <xdr:cNvPr id="6" name="Chart 5">
          <a:extLst>
            <a:ext uri="{FF2B5EF4-FFF2-40B4-BE49-F238E27FC236}">
              <a16:creationId xmlns:a16="http://schemas.microsoft.com/office/drawing/2014/main" id="{C09DD8A3-144D-7EE3-2875-FBF5062957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0</xdr:colOff>
      <xdr:row>945</xdr:row>
      <xdr:rowOff>61912</xdr:rowOff>
    </xdr:from>
    <xdr:to>
      <xdr:col>21</xdr:col>
      <xdr:colOff>138112</xdr:colOff>
      <xdr:row>959</xdr:row>
      <xdr:rowOff>138112</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8447B23-36B3-FEB6-231B-8E4C4B5A2F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3563600" y="180084412"/>
              <a:ext cx="4090987"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5995372" backgroundQuery="1" createdVersion="8" refreshedVersion="8" minRefreshableVersion="3" recordCount="0" supportSubquery="1" supportAdvancedDrill="1" xr:uid="{E76C5BFE-811A-4CAB-B903-AF93233C8C37}">
  <cacheSource type="external" connectionId="1"/>
  <cacheFields count="4">
    <cacheField name="[DataTable].[Age Group].[Age Group]" caption="Age Group" numFmtId="0" hierarchy="12" level="1">
      <sharedItems count="4">
        <s v="Below 30"/>
        <s v="In the 30s"/>
        <s v="Middle Aged"/>
        <s v="Retirement Age"/>
      </sharedItems>
    </cacheField>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2"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2" memberValueDatatype="130" unbalanced="0"/>
    <cacheHierarchy uniqueName="[DataTable].[Income]" caption="Income" attribute="1" defaultMemberUniqueName="[DataTable].[Income].[All]" allUniqueName="[DataTable].[Income].[All]" dimensionUniqueName="[DataTable]" displayFolder="" count="2" memberValueDatatype="20" unbalanced="0"/>
    <cacheHierarchy uniqueName="[DataTable].[Children]" caption="Children" attribute="1" defaultMemberUniqueName="[DataTable].[Children].[All]" allUniqueName="[DataTable].[Children].[All]" dimensionUniqueName="[DataTable]" displayFolder="" count="2"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2" memberValueDatatype="130" unbalanced="0"/>
    <cacheHierarchy uniqueName="[DataTable].[Cars]" caption="Cars" attribute="1" defaultMemberUniqueName="[DataTable].[Cars].[All]" allUniqueName="[DataTable].[Cars].[All]" dimensionUniqueName="[DataTable]" displayFolder="" count="2" memberValueDatatype="20" unbalanced="0"/>
    <cacheHierarchy uniqueName="[DataTable].[Commute Distance]" caption="Commute Distance" attribute="1" defaultMemberUniqueName="[DataTable].[Commute Distance].[All]" allUniqueName="[DataTable].[Commute Distance].[All]" dimensionUniqueName="[DataTable]" displayFolder="" count="2"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2" memberValueDatatype="20" unbalanced="0"/>
    <cacheHierarchy uniqueName="[DataTable].[Age Group]" caption="Age Group" attribute="1" defaultMemberUniqueName="[DataTable].[Age Group].[All]" allUniqueName="[DataTable].[Age Group].[All]" dimensionUniqueName="[DataTable]" displayFolder="" count="2" memberValueDatatype="130" unbalanced="0">
      <fieldsUsage count="2">
        <fieldUsage x="-1"/>
        <fieldUsage x="0"/>
      </fieldsUsage>
    </cacheHierarchy>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6458334" backgroundQuery="1" createdVersion="8" refreshedVersion="8" minRefreshableVersion="3" recordCount="0" supportSubquery="1" supportAdvancedDrill="1" xr:uid="{1A64EEFC-D655-4B42-98B3-AF65DFAC5A88}">
  <cacheSource type="external" connectionId="1"/>
  <cacheFields count="5">
    <cacheField name="[DataTable].[Children].[Children]" caption="Children" numFmtId="0" hierarchy="4" level="1">
      <sharedItems containsSemiMixedTypes="0" containsString="0" containsNumber="1" containsInteger="1" minValue="0" maxValue="5" count="6">
        <n v="0"/>
        <n v="1"/>
        <n v="2"/>
        <n v="3"/>
        <n v="4"/>
        <n v="5"/>
      </sharedItems>
      <extLst>
        <ext xmlns:x15="http://schemas.microsoft.com/office/spreadsheetml/2010/11/main" uri="{4F2E5C28-24EA-4eb8-9CBF-B6C8F9C3D259}">
          <x15:cachedUniqueNames>
            <x15:cachedUniqueName index="0" name="[DataTable].[Children].&amp;[0]"/>
            <x15:cachedUniqueName index="1" name="[DataTable].[Children].&amp;[1]"/>
            <x15:cachedUniqueName index="2" name="[DataTable].[Children].&amp;[2]"/>
            <x15:cachedUniqueName index="3" name="[DataTable].[Children].&amp;[3]"/>
            <x15:cachedUniqueName index="4" name="[DataTable].[Children].&amp;[4]"/>
            <x15:cachedUniqueName index="5" name="[DataTable].[Children].&amp;[5]"/>
          </x15:cachedUniqueNames>
        </ext>
      </extLst>
    </cacheField>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Measures].[AverageIncome]" caption="AverageIncome" numFmtId="0" hierarchy="14"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2" memberValueDatatype="20" unbalanced="0">
      <fieldsUsage count="2">
        <fieldUsage x="-1"/>
        <fieldUsage x="0"/>
      </fieldsUsage>
    </cacheHierarchy>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4"/>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1"/>
      </fieldsUsage>
    </cacheHierarchy>
    <cacheHierarchy uniqueName="[Measures].[AverageIncome]" caption="AverageIncome" measure="1" displayFolder="" measureGroup="DataTable" count="0" oneField="1">
      <fieldsUsage count="1">
        <fieldUsage x="3"/>
      </fieldsUsage>
    </cacheHierarchy>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6805557" backgroundQuery="1" createdVersion="8" refreshedVersion="8" minRefreshableVersion="3" recordCount="0" supportSubquery="1" supportAdvancedDrill="1" xr:uid="{520F64D1-CAC8-4A29-88FB-FB8F26F2813E}">
  <cacheSource type="external" connectionId="1"/>
  <cacheFields count="4">
    <cacheField name="[DataTable].[Commute Distance].[Commute Distance]" caption="Commute Distance" numFmtId="0" hierarchy="9" level="1">
      <sharedItems count="5">
        <s v="0-1 Miles"/>
        <s v="1-2 Miles"/>
        <s v="2-5 Miles"/>
        <s v="5-10 Miles"/>
        <s v="At least 10 miles"/>
      </sharedItems>
    </cacheField>
    <cacheField name="[Measures].[Count of Purchased Bike]" caption="Count of Purchased Bike" numFmtId="0" hierarchy="18"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2" memberValueDatatype="130" unbalanced="0">
      <fieldsUsage count="2">
        <fieldUsage x="-1"/>
        <fieldUsage x="0"/>
      </fieldsUsage>
    </cacheHierarchy>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715278" backgroundQuery="1" createdVersion="8" refreshedVersion="8" minRefreshableVersion="3" recordCount="0" supportSubquery="1" supportAdvancedDrill="1" xr:uid="{DDC51230-27D6-416C-AF14-4B6D34E05C6D}">
  <cacheSource type="external" connectionId="1"/>
  <cacheFields count="4">
    <cacheField name="[DataTable].[Gender].[Gender]" caption="Gender" numFmtId="0" hierarchy="2" level="1">
      <sharedItems count="2">
        <s v="Female"/>
        <s v="Male"/>
      </sharedItems>
    </cacheField>
    <cacheField name="[Measures].[Count of Purchased Bike]" caption="Count of Purchased Bike" numFmtId="0" hierarchy="18" level="32767"/>
    <cacheField name="[DataTable].[Purchased Bike].[Purchased Bike]" caption="Purchased Bike" numFmtId="0" hierarchy="13" level="1">
      <sharedItems count="2">
        <s v="No"/>
        <s v="Yes"/>
      </sharedItems>
    </cacheField>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2" memberValueDatatype="130" unbalanced="0">
      <fieldsUsage count="2">
        <fieldUsage x="-1"/>
        <fieldUsage x="0"/>
      </fieldsUsage>
    </cacheHierarchy>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3"/>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2"/>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11.820237615742" backgroundQuery="1" createdVersion="8" refreshedVersion="8" minRefreshableVersion="3" recordCount="0" supportSubquery="1" supportAdvancedDrill="1" xr:uid="{527ADF63-EC9C-47EF-8148-A5E0432EB306}">
  <cacheSource type="external" connectionId="1"/>
  <cacheFields count="3">
    <cacheField name="[DataTable].[Purchased Bike].[Purchased Bike]" caption="Purchased Bike" numFmtId="0" hierarchy="13" level="1">
      <sharedItems count="2">
        <s v="No"/>
        <s v="Yes"/>
      </sharedItems>
    </cacheField>
    <cacheField name="[Measures].[Count of Purchased Bike]" caption="Count of Purchased Bike" numFmtId="0" hierarchy="18" level="32767"/>
    <cacheField name="[DataTable].[Region].[Region]" caption="Region" numFmtId="0" hierarchy="10" level="1">
      <sharedItems containsSemiMixedTypes="0" containsNonDate="0" containsString="0"/>
    </cacheField>
  </cacheFields>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2"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fieldsUsage count="2">
        <fieldUsage x="-1"/>
        <fieldUsage x="2"/>
      </fieldsUsage>
    </cacheHierarchy>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2" memberValueDatatype="130" unbalanced="0">
      <fieldsUsage count="2">
        <fieldUsage x="-1"/>
        <fieldUsage x="0"/>
      </fieldsUsage>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dimensions count="2">
    <dimension name="DataTable" uniqueName="[DataTable]" caption="DataTable"/>
    <dimension measure="1" name="Measures" uniqueName="[Measures]" caption="Measures"/>
  </dimensions>
  <measureGroups count="1">
    <measureGroup name="DataTable" caption="DataTabl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6.713640624999" backgroundQuery="1" createdVersion="3" refreshedVersion="8" minRefreshableVersion="3" recordCount="0" supportSubquery="1" supportAdvancedDrill="1" xr:uid="{B18C0B11-2B4B-4860-B5B2-0986856C3448}">
  <cacheSource type="external" connectionId="1">
    <extLst>
      <ext xmlns:x14="http://schemas.microsoft.com/office/spreadsheetml/2009/9/main" uri="{F057638F-6D5F-4e77-A914-E7F072B9BCA8}">
        <x14:sourceConnection name="ThisWorkbookDataModel"/>
      </ext>
    </extLst>
  </cacheSource>
  <cacheFields count="0"/>
  <cacheHierarchies count="21">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2"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0" memberValueDatatype="130" unbalanced="0"/>
    <cacheHierarchy uniqueName="[DataTable].[Occupation]" caption="Occupation" attribute="1" defaultMemberUniqueName="[DataTable].[Occupation].[All]" allUniqueName="[DataTable].[Occupation].[All]" dimensionUniqueName="[DataTable]" displayFolder="" count="0"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0" memberValueDatatype="130" unbalanced="0"/>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0" memberValueDatatype="130" unbalanced="0"/>
    <cacheHierarchy uniqueName="[Measures].[Count of Purchased Bike]" caption="Count of Purchased Bike" measure="1" displayFolder="" measureGroup="DataTable" count="0">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extLst>
        <ext xmlns:x15="http://schemas.microsoft.com/office/spreadsheetml/2010/11/main" uri="{B97F6D7D-B522-45F9-BDA1-12C45D357490}">
          <x15:cacheHierarchy aggregatedColumn="7"/>
        </ext>
      </extLst>
    </cacheHierarchy>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22140779"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mes Carpenter" refreshedDate="45606.73613020833" backgroundQuery="1" createdVersion="3" refreshedVersion="8" minRefreshableVersion="3" recordCount="0" supportSubquery="1" supportAdvancedDrill="1" xr:uid="{3BEDAE42-E037-4E96-BE42-9C661CACC0FB}">
  <cacheSource type="external" connectionId="1">
    <extLst>
      <ext xmlns:x14="http://schemas.microsoft.com/office/spreadsheetml/2009/9/main" uri="{F057638F-6D5F-4e77-A914-E7F072B9BCA8}">
        <x14:sourceConnection name="ThisWorkbookDataModel"/>
      </ext>
    </extLst>
  </cacheSource>
  <cacheFields count="0"/>
  <cacheHierarchies count="26">
    <cacheHierarchy uniqueName="[DataTable].[ID]" caption="ID" attribute="1" defaultMemberUniqueName="[DataTable].[ID].[All]" allUniqueName="[DataTable].[ID].[All]" dimensionUniqueName="[DataTable]" displayFolder="" count="0" memberValueDatatype="20" unbalanced="0"/>
    <cacheHierarchy uniqueName="[DataTable].[Marital Status]" caption="Marital Status" attribute="1" defaultMemberUniqueName="[DataTable].[Marital Status].[All]" allUniqueName="[DataTable].[Marital Status].[All]" dimensionUniqueName="[DataTable]" displayFolder="" count="0" memberValueDatatype="130" unbalanced="0"/>
    <cacheHierarchy uniqueName="[DataTable].[Gender]" caption="Gender" attribute="1" defaultMemberUniqueName="[DataTable].[Gender].[All]" allUniqueName="[DataTable].[Gender].[All]" dimensionUniqueName="[DataTable]" displayFolder="" count="0" memberValueDatatype="130" unbalanced="0"/>
    <cacheHierarchy uniqueName="[DataTable].[Income]" caption="Income" attribute="1" defaultMemberUniqueName="[DataTable].[Income].[All]" allUniqueName="[DataTable].[Income].[All]" dimensionUniqueName="[DataTable]" displayFolder="" count="0" memberValueDatatype="20" unbalanced="0"/>
    <cacheHierarchy uniqueName="[DataTable].[Children]" caption="Children" attribute="1" defaultMemberUniqueName="[DataTable].[Children].[All]" allUniqueName="[DataTable].[Children].[All]" dimensionUniqueName="[DataTable]" displayFolder="" count="0" memberValueDatatype="20" unbalanced="0"/>
    <cacheHierarchy uniqueName="[DataTable].[Education]" caption="Education" attribute="1" defaultMemberUniqueName="[DataTable].[Education].[All]" allUniqueName="[DataTable].[Education].[All]" dimensionUniqueName="[DataTable]" displayFolder="" count="2" memberValueDatatype="130" unbalanced="0"/>
    <cacheHierarchy uniqueName="[DataTable].[Occupation]" caption="Occupation" attribute="1" defaultMemberUniqueName="[DataTable].[Occupation].[All]" allUniqueName="[DataTable].[Occupation].[All]" dimensionUniqueName="[DataTable]" displayFolder="" count="2" memberValueDatatype="130" unbalanced="0"/>
    <cacheHierarchy uniqueName="[DataTable].[Home Owner]" caption="Home Owner" attribute="1" defaultMemberUniqueName="[DataTable].[Home Owner].[All]" allUniqueName="[DataTable].[Home Owner].[All]" dimensionUniqueName="[DataTable]" displayFolder="" count="0" memberValueDatatype="130" unbalanced="0"/>
    <cacheHierarchy uniqueName="[DataTable].[Cars]" caption="Cars" attribute="1" defaultMemberUniqueName="[DataTable].[Cars].[All]" allUniqueName="[DataTable].[Cars].[All]" dimensionUniqueName="[DataTable]" displayFolder="" count="0" memberValueDatatype="20" unbalanced="0"/>
    <cacheHierarchy uniqueName="[DataTable].[Commute Distance]" caption="Commute Distance" attribute="1" defaultMemberUniqueName="[DataTable].[Commute Distance].[All]" allUniqueName="[DataTable].[Commute Distance].[All]" dimensionUniqueName="[DataTable]" displayFolder="" count="0" memberValueDatatype="130" unbalanced="0"/>
    <cacheHierarchy uniqueName="[DataTable].[Region]" caption="Region" attribute="1" defaultMemberUniqueName="[DataTable].[Region].[All]" allUniqueName="[DataTable].[Region].[All]" dimensionUniqueName="[DataTable]" displayFolder="" count="2" memberValueDatatype="130" unbalanced="0"/>
    <cacheHierarchy uniqueName="[DataTable].[Age]" caption="Age" attribute="1" defaultMemberUniqueName="[DataTable].[Age].[All]" allUniqueName="[DataTable].[Age].[All]" dimensionUniqueName="[DataTable]" displayFolder="" count="0" memberValueDatatype="20" unbalanced="0"/>
    <cacheHierarchy uniqueName="[DataTable].[Age Group]" caption="Age Group" attribute="1" defaultMemberUniqueName="[DataTable].[Age Group].[All]" allUniqueName="[DataTable].[Age Group].[All]" dimensionUniqueName="[DataTable]" displayFolder="" count="0" memberValueDatatype="130" unbalanced="0"/>
    <cacheHierarchy uniqueName="[DataTable].[Purchased Bike]" caption="Purchased Bike" attribute="1" defaultMemberUniqueName="[DataTable].[Purchased Bike].[All]" allUniqueName="[DataTable].[Purchased Bike].[All]" dimensionUniqueName="[DataTable]" displayFolder="" count="0" memberValueDatatype="130" unbalanced="0"/>
    <cacheHierarchy uniqueName="[Measures].[AverageIncome]" caption="AverageIncome" measure="1" displayFolder="" measureGroup="DataTable" count="0"/>
    <cacheHierarchy uniqueName="[Measures].[AvgIncomeByAge]" caption="AvgIncomeByAge" measure="1" displayFolder="" measureGroup="DataTable" count="0"/>
    <cacheHierarchy uniqueName="[Measures].[__XL_Count DataTable]" caption="__XL_Count DataTable" measure="1" displayFolder="" measureGroup="DataTable" count="0" hidden="1"/>
    <cacheHierarchy uniqueName="[Measures].[__No measures defined]" caption="__No measures defined" measure="1" displayFolder="" count="0" hidden="1"/>
    <cacheHierarchy uniqueName="[Measures].[Count of Purchased Bike]" caption="Count of Purchased Bike" measure="1" displayFolder="" measureGroup="DataTable" count="0" hidden="1">
      <extLst>
        <ext xmlns:x15="http://schemas.microsoft.com/office/spreadsheetml/2010/11/main" uri="{B97F6D7D-B522-45F9-BDA1-12C45D357490}">
          <x15:cacheHierarchy aggregatedColumn="13"/>
        </ext>
      </extLst>
    </cacheHierarchy>
    <cacheHierarchy uniqueName="[Measures].[Count of Marital Status]" caption="Count of Marital Status" measure="1" displayFolder="" measureGroup="DataTable" count="0" hidden="1">
      <extLst>
        <ext xmlns:x15="http://schemas.microsoft.com/office/spreadsheetml/2010/11/main" uri="{B97F6D7D-B522-45F9-BDA1-12C45D357490}">
          <x15:cacheHierarchy aggregatedColumn="1"/>
        </ext>
      </extLst>
    </cacheHierarchy>
    <cacheHierarchy uniqueName="[Measures].[Count of Home Owner]" caption="Count of Home Owner" measure="1" displayFolder="" measureGroup="DataTable" count="0" hidden="1">
      <extLst>
        <ext xmlns:x15="http://schemas.microsoft.com/office/spreadsheetml/2010/11/main" uri="{B97F6D7D-B522-45F9-BDA1-12C45D357490}">
          <x15:cacheHierarchy aggregatedColumn="7"/>
        </ext>
      </extLst>
    </cacheHierarchy>
    <cacheHierarchy uniqueName="[Measures].[Sum of Income]" caption="Sum of Income" measure="1" displayFolder="" measureGroup="DataTable" count="0" hidden="1">
      <extLst>
        <ext xmlns:x15="http://schemas.microsoft.com/office/spreadsheetml/2010/11/main" uri="{B97F6D7D-B522-45F9-BDA1-12C45D357490}">
          <x15:cacheHierarchy aggregatedColumn="3"/>
        </ext>
      </extLst>
    </cacheHierarchy>
    <cacheHierarchy uniqueName="[Measures].[Min of Income]" caption="Min of Income" measure="1" displayFolder="" measureGroup="DataTable" count="0" hidden="1">
      <extLst>
        <ext xmlns:x15="http://schemas.microsoft.com/office/spreadsheetml/2010/11/main" uri="{B97F6D7D-B522-45F9-BDA1-12C45D357490}">
          <x15:cacheHierarchy aggregatedColumn="3"/>
        </ext>
      </extLst>
    </cacheHierarchy>
    <cacheHierarchy uniqueName="[Measures].[Average of Income]" caption="Average of Income" measure="1" displayFolder="" measureGroup="DataTable" count="0" hidden="1">
      <extLst>
        <ext xmlns:x15="http://schemas.microsoft.com/office/spreadsheetml/2010/11/main" uri="{B97F6D7D-B522-45F9-BDA1-12C45D357490}">
          <x15:cacheHierarchy aggregatedColumn="3"/>
        </ext>
      </extLst>
    </cacheHierarchy>
    <cacheHierarchy uniqueName="[Measures].[Max of Income]" caption="Max of Income" measure="1" displayFolder="" measureGroup="DataTable" count="0" hidden="1">
      <extLst>
        <ext xmlns:x15="http://schemas.microsoft.com/office/spreadsheetml/2010/11/main" uri="{B97F6D7D-B522-45F9-BDA1-12C45D357490}">
          <x15:cacheHierarchy aggregatedColumn="3"/>
        </ext>
      </extLst>
    </cacheHierarchy>
    <cacheHierarchy uniqueName="[Measures].[Count of Gender]" caption="Count of Gender" measure="1" displayFolder="" measureGroup="DataTable"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8257123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90BB3C-DC48-43ED-A4EC-90A21676369A}" name="ChildrenIncomeTable" cacheId="1" applyNumberFormats="0" applyBorderFormats="0" applyFontFormats="0" applyPatternFormats="0" applyAlignmentFormats="0" applyWidthHeightFormats="1" dataCaption="Values" tag="168551b3-7a6f-467e-860c-5bc6605cece5" updatedVersion="8" minRefreshableVersion="3" useAutoFormatting="1" colGrandTotals="0" itemPrintTitles="1" createdVersion="8" indent="0" outline="1" outlineData="1" multipleFieldFilters="0" chartFormat="21">
  <location ref="A1:E10" firstHeaderRow="1" firstDataRow="3" firstDataCol="1"/>
  <pivotFields count="5">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2">
    <field x="1"/>
    <field x="-2"/>
  </colFields>
  <colItems count="4">
    <i>
      <x/>
      <x/>
    </i>
    <i r="1" i="1">
      <x v="1"/>
    </i>
    <i>
      <x v="1"/>
      <x/>
    </i>
    <i r="1" i="1">
      <x v="1"/>
    </i>
  </colItems>
  <dataFields count="2">
    <dataField name="Count of Purchased Bike" fld="2" subtotal="count" baseField="0" baseItem="0"/>
    <dataField fld="3" subtotal="count" baseField="0" baseItem="0"/>
  </dataFields>
  <chartFormats count="8">
    <chartFormat chart="13" format="0" series="1">
      <pivotArea type="data" outline="0" fieldPosition="0">
        <references count="2">
          <reference field="4294967294" count="1" selected="0">
            <x v="0"/>
          </reference>
          <reference field="1" count="1" selected="0">
            <x v="0"/>
          </reference>
        </references>
      </pivotArea>
    </chartFormat>
    <chartFormat chart="13" format="1" series="1">
      <pivotArea type="data" outline="0" fieldPosition="0">
        <references count="2">
          <reference field="4294967294" count="1" selected="0">
            <x v="1"/>
          </reference>
          <reference field="1" count="1" selected="0">
            <x v="0"/>
          </reference>
        </references>
      </pivotArea>
    </chartFormat>
    <chartFormat chart="13" format="2" series="1">
      <pivotArea type="data" outline="0" fieldPosition="0">
        <references count="2">
          <reference field="4294967294" count="1" selected="0">
            <x v="0"/>
          </reference>
          <reference field="1" count="1" selected="0">
            <x v="1"/>
          </reference>
        </references>
      </pivotArea>
    </chartFormat>
    <chartFormat chart="13" format="3" series="1">
      <pivotArea type="data" outline="0" fieldPosition="0">
        <references count="2">
          <reference field="4294967294" count="1" selected="0">
            <x v="1"/>
          </reference>
          <reference field="1" count="1" selected="0">
            <x v="1"/>
          </reference>
        </references>
      </pivotArea>
    </chartFormat>
    <chartFormat chart="15" format="8" series="1">
      <pivotArea type="data" outline="0" fieldPosition="0">
        <references count="2">
          <reference field="4294967294" count="1" selected="0">
            <x v="0"/>
          </reference>
          <reference field="1" count="1" selected="0">
            <x v="0"/>
          </reference>
        </references>
      </pivotArea>
    </chartFormat>
    <chartFormat chart="15" format="9" series="1">
      <pivotArea type="data" outline="0" fieldPosition="0">
        <references count="2">
          <reference field="4294967294" count="1" selected="0">
            <x v="0"/>
          </reference>
          <reference field="1" count="1" selected="0">
            <x v="1"/>
          </reference>
        </references>
      </pivotArea>
    </chartFormat>
    <chartFormat chart="15" format="10" series="1">
      <pivotArea type="data" outline="0" fieldPosition="0">
        <references count="2">
          <reference field="4294967294" count="1" selected="0">
            <x v="1"/>
          </reference>
          <reference field="1" count="1" selected="0">
            <x v="0"/>
          </reference>
        </references>
      </pivotArea>
    </chartFormat>
    <chartFormat chart="15" format="11" series="1">
      <pivotArea type="data" outline="0" fieldPosition="0">
        <references count="2">
          <reference field="4294967294" count="1" selected="0">
            <x v="1"/>
          </reference>
          <reference field="1"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2">
    <colHierarchyUsage hierarchyUsage="13"/>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DCDA81-2585-4F43-8E36-8A980DDA05AF}" name="Commute Distance" cacheId="2" applyNumberFormats="0" applyBorderFormats="0" applyFontFormats="0" applyPatternFormats="0" applyAlignmentFormats="0" applyWidthHeightFormats="1" dataCaption="Values" tag="b7d06d01-ccd1-4429-acee-b146b5be1305" updatedVersion="8" minRefreshableVersion="3" useAutoFormatting="1" itemPrintTitles="1" createdVersion="8" indent="0" outline="1" outlineData="1" multipleFieldFilters="0" chartFormat="11">
  <location ref="A23:D30" firstHeaderRow="1" firstDataRow="2" firstDataCol="1"/>
  <pivotFields count="4">
    <pivotField axis="axisRow" allDrilled="1" subtotalTop="0" showAll="0" sortType="descending" defaultSubtotal="0" defaultAttributeDrillState="1">
      <items count="5">
        <item x="4"/>
        <item x="3"/>
        <item x="2"/>
        <item x="1"/>
        <item x="0"/>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6">
    <i>
      <x/>
    </i>
    <i>
      <x v="1"/>
    </i>
    <i>
      <x v="2"/>
    </i>
    <i>
      <x v="3"/>
    </i>
    <i>
      <x v="4"/>
    </i>
    <i t="grand">
      <x/>
    </i>
  </rowItems>
  <colFields count="1">
    <field x="2"/>
  </colFields>
  <colItems count="3">
    <i>
      <x/>
    </i>
    <i>
      <x v="1"/>
    </i>
    <i t="grand">
      <x/>
    </i>
  </colItems>
  <dataFields count="1">
    <dataField name="Count of Purchased Bike" fld="1" subtotal="count" baseField="0" baseItem="0"/>
  </dataFields>
  <chartFormats count="2">
    <chartFormat chart="4" format="4" series="1">
      <pivotArea type="data" outline="0" fieldPosition="0">
        <references count="2">
          <reference field="4294967294" count="1" selected="0">
            <x v="0"/>
          </reference>
          <reference field="2" count="1" selected="0">
            <x v="0"/>
          </reference>
        </references>
      </pivotArea>
    </chartFormat>
    <chartFormat chart="4" format="5" series="1">
      <pivotArea type="data" outline="0" fieldPosition="0">
        <references count="2">
          <reference field="4294967294" count="1" selected="0">
            <x v="0"/>
          </reference>
          <reference field="2"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25DE6A-C8ED-4411-9ED8-8D507DB72BB9}" name="GenderTable" cacheId="3" applyNumberFormats="0" applyBorderFormats="0" applyFontFormats="0" applyPatternFormats="0" applyAlignmentFormats="0" applyWidthHeightFormats="1" dataCaption="Values" tag="d540b493-31e3-4530-b0e7-5c0bc82cae61" updatedVersion="8" minRefreshableVersion="3" useAutoFormatting="1" subtotalHiddenItems="1" itemPrintTitles="1" createdVersion="8" indent="0" outline="1" outlineData="1" multipleFieldFilters="0" chartFormat="22">
  <location ref="A15:D19" firstHeaderRow="1" firstDataRow="2" firstDataCol="1"/>
  <pivotFields count="4">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3">
    <i>
      <x/>
    </i>
    <i>
      <x v="1"/>
    </i>
    <i t="grand">
      <x/>
    </i>
  </rowItems>
  <colFields count="1">
    <field x="2"/>
  </colFields>
  <colItems count="3">
    <i>
      <x/>
    </i>
    <i>
      <x v="1"/>
    </i>
    <i t="grand">
      <x/>
    </i>
  </colItems>
  <dataFields count="1">
    <dataField name="Count of Purchased Bike" fld="1" subtotal="count" baseField="0" baseItem="0"/>
  </dataFields>
  <chartFormats count="6">
    <chartFormat chart="10" format="20" series="1">
      <pivotArea type="data" outline="0" fieldPosition="0">
        <references count="1">
          <reference field="4294967294" count="1" selected="0">
            <x v="0"/>
          </reference>
        </references>
      </pivotArea>
    </chartFormat>
    <chartFormat chart="10" format="21">
      <pivotArea type="data" outline="0" fieldPosition="0">
        <references count="2">
          <reference field="4294967294" count="1" selected="0">
            <x v="0"/>
          </reference>
          <reference field="0" count="1" selected="0">
            <x v="0"/>
          </reference>
        </references>
      </pivotArea>
    </chartFormat>
    <chartFormat chart="10" format="22" series="1">
      <pivotArea type="data" outline="0" fieldPosition="0">
        <references count="2">
          <reference field="4294967294" count="1" selected="0">
            <x v="0"/>
          </reference>
          <reference field="2" count="1" selected="0">
            <x v="1"/>
          </reference>
        </references>
      </pivotArea>
    </chartFormat>
    <chartFormat chart="10" format="23">
      <pivotArea type="data" outline="0" fieldPosition="0">
        <references count="3">
          <reference field="4294967294" count="1" selected="0">
            <x v="0"/>
          </reference>
          <reference field="0" count="1" selected="0">
            <x v="0"/>
          </reference>
          <reference field="2" count="1" selected="0">
            <x v="0"/>
          </reference>
        </references>
      </pivotArea>
    </chartFormat>
    <chartFormat chart="10" format="24" series="1">
      <pivotArea type="data" outline="0" fieldPosition="0">
        <references count="2">
          <reference field="4294967294" count="1" selected="0">
            <x v="0"/>
          </reference>
          <reference field="2" count="1" selected="0">
            <x v="0"/>
          </reference>
        </references>
      </pivotArea>
    </chartFormat>
    <chartFormat chart="10" format="25">
      <pivotArea type="data" outline="0" fieldPosition="0">
        <references count="3">
          <reference field="4294967294" count="1" selected="0">
            <x v="0"/>
          </reference>
          <reference field="0" count="1" selected="0">
            <x v="0"/>
          </reference>
          <reference field="2"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0D3B45-8A8F-4876-8DB0-BBB86EA3E4EE}" name="PivotTable3" cacheId="4" applyNumberFormats="0" applyBorderFormats="0" applyFontFormats="0" applyPatternFormats="0" applyAlignmentFormats="0" applyWidthHeightFormats="1" dataCaption="Values" tag="926dfbeb-0dff-45b9-bffc-1414941126ef" updatedVersion="8" minRefreshableVersion="3" useAutoFormatting="1" itemPrintTitles="1" createdVersion="8" indent="0" outline="1" outlineData="1" multipleFieldFilters="0" chartFormat="12">
  <location ref="A44:B4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Count of Purchased Bike" fld="1" subtotal="count" baseField="0" baseItem="0"/>
  </dataFields>
  <chartFormats count="6">
    <chartFormat chart="7"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 chart="9" format="6">
      <pivotArea type="data" outline="0" fieldPosition="0">
        <references count="2">
          <reference field="4294967294" count="1" selected="0">
            <x v="0"/>
          </reference>
          <reference field="0" count="1" selected="0">
            <x v="1"/>
          </reference>
        </references>
      </pivotArea>
    </chartFormat>
    <chartFormat chart="7" format="1">
      <pivotArea type="data" outline="0" fieldPosition="0">
        <references count="2">
          <reference field="4294967294" count="1" selected="0">
            <x v="0"/>
          </reference>
          <reference field="0" count="1" selected="0">
            <x v="0"/>
          </reference>
        </references>
      </pivotArea>
    </chartFormat>
    <chartFormat chart="7" format="2">
      <pivotArea type="data" outline="0" fieldPosition="0">
        <references count="2">
          <reference field="4294967294" count="1" selected="0">
            <x v="0"/>
          </reference>
          <reference field="0"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75531E-8BB6-4A7F-8635-A26B9093F350}" name="AgeGroupTable" cacheId="0" applyNumberFormats="0" applyBorderFormats="0" applyFontFormats="0" applyPatternFormats="0" applyAlignmentFormats="0" applyWidthHeightFormats="1" dataCaption="Values" tag="42127370-330f-4c49-8a95-c5a8702cb2ec" updatedVersion="8" minRefreshableVersion="3" useAutoFormatting="1" colGrandTotals="0" itemPrintTitles="1" createdVersion="8" indent="0" outline="1" outlineData="1" multipleFieldFilters="0" chartFormat="21">
  <location ref="A33:C39" firstHeaderRow="1" firstDataRow="2" firstDataCol="1"/>
  <pivotFields count="4">
    <pivotField axis="axisRow" allDrilled="1" subtotalTop="0" showAll="0" dataSourceSort="1" defaultSubtotal="0" defaultAttributeDrillState="1">
      <items count="4">
        <item x="0"/>
        <item x="1"/>
        <item x="2"/>
        <item x="3"/>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1"/>
  </colFields>
  <colItems count="2">
    <i>
      <x/>
    </i>
    <i>
      <x v="1"/>
    </i>
  </colItems>
  <dataFields count="1">
    <dataField name="Count of Purchased Bike" fld="2" subtotal="count" baseField="0" baseItem="0"/>
  </dataFields>
  <chartFormats count="2">
    <chartFormat chart="19" format="4" series="1">
      <pivotArea type="data" outline="0" fieldPosition="0">
        <references count="2">
          <reference field="4294967294" count="1" selected="0">
            <x v="0"/>
          </reference>
          <reference field="1" count="1" selected="0">
            <x v="0"/>
          </reference>
        </references>
      </pivotArea>
    </chartFormat>
    <chartFormat chart="19" format="5" series="1">
      <pivotArea type="data" outline="0" fieldPosition="0">
        <references count="2">
          <reference field="4294967294" count="1" selected="0">
            <x v="0"/>
          </reference>
          <reference field="1" count="1" selected="0">
            <x v="1"/>
          </reference>
        </references>
      </pivotArea>
    </chartFormat>
  </chartFormats>
  <pivotHierarchies count="26">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Tabl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5B11303F-ABAB-4F22-8736-AE4E4D0C68D0}" sourceName="[DataTable].[Marital Status]">
  <pivotTables>
    <pivotTable tabId="3" name="GenderTable"/>
    <pivotTable tabId="3" name="ChildrenIncomeTable"/>
    <pivotTable tabId="3" name="AgeGroupTable"/>
    <pivotTable tabId="3" name="Commute Distance"/>
    <pivotTable tabId="3" name="PivotTable3"/>
  </pivotTables>
  <data>
    <olap pivotCacheId="922140779">
      <levels count="2">
        <level uniqueName="[DataTable].[Marital Status].[(All)]" sourceCaption="(All)" count="0"/>
        <level uniqueName="[DataTable].[Marital Status].[Marital Status]" sourceCaption="Marital Status" count="2">
          <ranges>
            <range startItem="0">
              <i n="[DataTable].[Marital Status].&amp;[Married]" c="Married"/>
              <i n="[DataTable].[Marital Status].&amp;[Single]" c="Single"/>
            </range>
          </ranges>
        </level>
      </levels>
      <selections count="1">
        <selection n="[DataTable].[Marital Status].[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F7C31F41-093A-42E3-A5CA-CEEF6C02F745}" sourceName="[DataTable].[Occupat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Occupation].[(All)]" sourceCaption="(All)" count="0"/>
        <level uniqueName="[DataTable].[Occupation].[Occupation]" sourceCaption="Occupation" count="5">
          <ranges>
            <range startItem="0">
              <i n="[DataTable].[Occupation].&amp;[Clerical]" c="Clerical"/>
              <i n="[DataTable].[Occupation].&amp;[Management]" c="Management"/>
              <i n="[DataTable].[Occupation].&amp;[Manual]" c="Manual"/>
              <i n="[DataTable].[Occupation].&amp;[Professional]" c="Professional"/>
              <i n="[DataTable].[Occupation].&amp;[Skilled Manual]" c="Skilled Manual"/>
            </range>
          </ranges>
        </level>
      </levels>
      <selections count="1">
        <selection n="[DataTable].[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B963BB3C-94FE-4A2B-8693-9BF77054CFEA}" sourceName="[DataTable].[Educat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Education].[(All)]" sourceCaption="(All)" count="0"/>
        <level uniqueName="[DataTable].[Education].[Education]" sourceCaption="Education" count="5">
          <ranges>
            <range startItem="0">
              <i n="[DataTable].[Education].&amp;[Bachelors]" c="Bachelors"/>
              <i n="[DataTable].[Education].&amp;[Graduate Degree]" c="Graduate Degree"/>
              <i n="[DataTable].[Education].&amp;[High School]" c="High School"/>
              <i n="[DataTable].[Education].&amp;[Partial College]" c="Partial College"/>
              <i n="[DataTable].[Education].&amp;[Partial High School]" c="Partial High School"/>
            </range>
          </ranges>
        </level>
      </levels>
      <selections count="1">
        <selection n="[DataTable].[Edu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E9CD29C-1F16-42D0-BE42-8C4DDB8349FF}" sourceName="[DataTable].[Region]">
  <pivotTables>
    <pivotTable tabId="3" name="AgeGroupTable"/>
    <pivotTable tabId="3" name="ChildrenIncomeTable"/>
    <pivotTable tabId="3" name="Commute Distance"/>
    <pivotTable tabId="3" name="GenderTable"/>
    <pivotTable tabId="3" name="PivotTable3"/>
  </pivotTables>
  <data>
    <olap pivotCacheId="825712365">
      <levels count="2">
        <level uniqueName="[DataTable].[Region].[(All)]" sourceCaption="(All)" count="0"/>
        <level uniqueName="[DataTable].[Region].[Region]" sourceCaption="Region" count="3">
          <ranges>
            <range startItem="0">
              <i n="[DataTable].[Region].&amp;[Europe]" c="Europe"/>
              <i n="[DataTable].[Region].&amp;[North America]" c="North America"/>
              <i n="[DataTable].[Region].&amp;[Pacific]" c="Pacific"/>
            </range>
          </ranges>
        </level>
      </levels>
      <selections count="1">
        <selection n="[DataTable].[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16A24DF-ABCB-4343-B5C3-5A9460F93950}" cache="Slicer_Marital_Status" caption="Marital Status" level="1" style="Slicer Style 1" rowHeight="241300"/>
  <slicer name="Occupation" xr10:uid="{83402F18-A560-45F5-9B90-282E0CB582AE}" cache="Slicer_Occupation" caption="Occupation" level="1" style="Slicer Style 1" rowHeight="241300"/>
  <slicer name="Education" xr10:uid="{280572AF-C26F-454D-8C92-472640D355B9}" cache="Slicer_Education" caption="Education" level="1" style="Slicer Style 1" rowHeight="241300"/>
  <slicer name="Region" xr10:uid="{F37FDE62-81F8-4571-ACF9-B5AA68031F96}" cache="Slicer_Region" caption="Region" level="1"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650C2C-9756-4690-804B-F7CDE6703AA0}" name="DataTable" displayName="DataTable" ref="A1:N1001" totalsRowShown="0">
  <autoFilter ref="A1:N1001" xr:uid="{E52540C1-6F4C-4E12-94B6-B7ECD2C866A0}"/>
  <tableColumns count="14">
    <tableColumn id="1" xr3:uid="{1EE97EF4-EABB-429C-9A4D-344FEC20F110}" name="ID"/>
    <tableColumn id="2" xr3:uid="{BAB21EED-3C6A-4C2D-A87B-75F7FDD0B5C8}" name="Marital Status"/>
    <tableColumn id="3" xr3:uid="{D25C7658-1FDC-4089-801C-5EC1A6271FB4}" name="Gender"/>
    <tableColumn id="4" xr3:uid="{519AC7BB-583D-48AD-90CD-EE114EA6C8FB}" name="Income" dataDxfId="4"/>
    <tableColumn id="5" xr3:uid="{EB66E2E2-7880-41C5-BC2E-B8A1933B135E}" name="Children" dataDxfId="3"/>
    <tableColumn id="6" xr3:uid="{CB921852-429C-4657-94D7-C6E33B04015E}" name="Education"/>
    <tableColumn id="7" xr3:uid="{3283AA1C-AEB6-4252-84D2-C1E994BE54A0}" name="Occupation"/>
    <tableColumn id="8" xr3:uid="{92DB0E7C-872F-4F20-9985-1AE3C0AEA22C}" name="Home Owner"/>
    <tableColumn id="9" xr3:uid="{DA573B16-DBDA-414F-ACFD-AA88A73F7CE4}" name="Cars" dataDxfId="2"/>
    <tableColumn id="10" xr3:uid="{AB494DC6-5637-4EA8-B560-B81E2EDFEC28}" name="Commute Distance"/>
    <tableColumn id="11" xr3:uid="{D527636F-A89F-4D02-926A-79F04693462C}" name="Region"/>
    <tableColumn id="12" xr3:uid="{631D2C49-D270-4368-A827-314E1CC88DCB}" name="Age" dataDxfId="1"/>
    <tableColumn id="13" xr3:uid="{75CEEF64-A61A-4492-939A-41B9DB792F34}" name="Age Group" dataDxfId="0">
      <calculatedColumnFormula array="1">_xlfn.IFS(
L2&gt;=65,"Retirement Age",
AND(L2&lt;65,L2&gt;=40),"Middle Aged",
AND(L2&lt;40,L2&gt;=30),"In the 30s",
L2&lt;30,"Below 30")</calculatedColumnFormula>
    </tableColumn>
    <tableColumn id="14" xr3:uid="{CF538B21-82BB-440A-9D3F-0D6BAAE74675}"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FC422-F3D1-429B-A830-F4797B02FB95}">
  <sheetPr codeName="Sheet1"/>
  <dimension ref="B1:S37"/>
  <sheetViews>
    <sheetView showGridLines="0" tabSelected="1" zoomScale="60" zoomScaleNormal="60" workbookViewId="0">
      <selection activeCell="V10" sqref="V10"/>
    </sheetView>
  </sheetViews>
  <sheetFormatPr defaultRowHeight="15" x14ac:dyDescent="0.25"/>
  <cols>
    <col min="1" max="3" width="9.140625" style="8"/>
    <col min="4" max="4" width="7.28515625" style="8" customWidth="1"/>
    <col min="5" max="11" width="9.140625" style="8"/>
    <col min="12" max="12" width="4.28515625" style="8" customWidth="1"/>
    <col min="13" max="18" width="9.140625" style="8"/>
    <col min="19" max="19" width="15.140625" style="8" customWidth="1"/>
    <col min="20" max="16384" width="9.140625" style="8"/>
  </cols>
  <sheetData>
    <row r="1" spans="2:19" ht="19.5" customHeight="1" x14ac:dyDescent="0.25"/>
    <row r="2" spans="2:19" ht="42.75" customHeight="1" x14ac:dyDescent="0.25">
      <c r="B2" s="9"/>
      <c r="C2" s="9"/>
      <c r="D2" s="9"/>
      <c r="E2" s="9"/>
      <c r="F2" s="9"/>
      <c r="G2" s="9"/>
      <c r="H2" s="9"/>
      <c r="I2" s="9"/>
      <c r="J2" s="9"/>
      <c r="K2" s="9"/>
      <c r="L2" s="9"/>
      <c r="M2" s="9"/>
      <c r="N2" s="9"/>
      <c r="O2" s="9"/>
      <c r="P2" s="9"/>
      <c r="Q2" s="9"/>
      <c r="R2" s="9"/>
      <c r="S2" s="9"/>
    </row>
    <row r="17" s="8" customFormat="1" x14ac:dyDescent="0.25"/>
    <row r="18" s="8" customFormat="1" x14ac:dyDescent="0.25"/>
    <row r="19" s="8" customFormat="1" x14ac:dyDescent="0.25"/>
    <row r="20" s="8" customFormat="1" x14ac:dyDescent="0.25"/>
    <row r="21" s="8" customFormat="1" x14ac:dyDescent="0.25"/>
    <row r="22" s="8" customFormat="1" x14ac:dyDescent="0.25"/>
    <row r="23" s="8" customFormat="1" x14ac:dyDescent="0.25"/>
    <row r="24" s="8" customFormat="1" x14ac:dyDescent="0.25"/>
    <row r="25" s="8" customFormat="1" x14ac:dyDescent="0.25"/>
    <row r="26" s="8" customFormat="1" x14ac:dyDescent="0.25"/>
    <row r="27" s="8" customFormat="1" x14ac:dyDescent="0.25"/>
    <row r="28" s="8" customFormat="1" x14ac:dyDescent="0.25"/>
    <row r="29" s="8" customFormat="1" x14ac:dyDescent="0.25"/>
    <row r="30" s="8" customFormat="1" x14ac:dyDescent="0.25"/>
    <row r="31" s="8" customFormat="1" x14ac:dyDescent="0.25"/>
    <row r="32" s="8" customFormat="1" x14ac:dyDescent="0.25"/>
    <row r="33" s="8" customFormat="1" x14ac:dyDescent="0.25"/>
    <row r="34" s="8" customFormat="1" x14ac:dyDescent="0.25"/>
    <row r="35" s="8" customFormat="1" ht="12" customHeight="1" x14ac:dyDescent="0.25"/>
    <row r="36" s="8" customFormat="1" ht="24.75" customHeight="1" x14ac:dyDescent="0.25"/>
    <row r="37" s="8" customFormat="1" x14ac:dyDescent="0.25"/>
  </sheetData>
  <mergeCells count="1">
    <mergeCell ref="B2:S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7E3C4-1F6B-4BF6-B115-527B23C6519A}">
  <sheetPr codeName="Sheet2"/>
  <dimension ref="A1:E47"/>
  <sheetViews>
    <sheetView topLeftCell="A28" workbookViewId="0">
      <selection activeCell="A44" sqref="A44"/>
    </sheetView>
  </sheetViews>
  <sheetFormatPr defaultRowHeight="15" x14ac:dyDescent="0.25"/>
  <cols>
    <col min="1" max="1" width="13.140625" bestFit="1" customWidth="1"/>
    <col min="2" max="2" width="22.85546875" bestFit="1" customWidth="1"/>
    <col min="3" max="3" width="4.140625" bestFit="1" customWidth="1"/>
    <col min="4" max="4" width="11.28515625" bestFit="1" customWidth="1"/>
    <col min="5" max="5" width="15" bestFit="1" customWidth="1"/>
    <col min="6" max="6" width="27.85546875" bestFit="1" customWidth="1"/>
    <col min="7" max="7" width="21.7109375" bestFit="1" customWidth="1"/>
    <col min="8" max="10" width="10.140625" bestFit="1" customWidth="1"/>
    <col min="11" max="16" width="11.140625" bestFit="1" customWidth="1"/>
    <col min="17" max="17" width="8.42578125" bestFit="1" customWidth="1"/>
    <col min="18" max="26" width="10.140625" bestFit="1" customWidth="1"/>
    <col min="27" max="33" width="11.140625" bestFit="1" customWidth="1"/>
    <col min="34" max="34" width="9" bestFit="1" customWidth="1"/>
    <col min="35" max="35" width="11.28515625" bestFit="1" customWidth="1"/>
  </cols>
  <sheetData>
    <row r="1" spans="1:5" x14ac:dyDescent="0.25">
      <c r="B1" s="5" t="s">
        <v>44</v>
      </c>
    </row>
    <row r="2" spans="1:5" x14ac:dyDescent="0.25">
      <c r="B2" t="s">
        <v>18</v>
      </c>
      <c r="D2" t="s">
        <v>15</v>
      </c>
    </row>
    <row r="3" spans="1:5" x14ac:dyDescent="0.25">
      <c r="A3" s="5" t="s">
        <v>41</v>
      </c>
      <c r="B3" t="s">
        <v>43</v>
      </c>
      <c r="C3" t="s">
        <v>46</v>
      </c>
      <c r="D3" t="s">
        <v>43</v>
      </c>
      <c r="E3" t="s">
        <v>46</v>
      </c>
    </row>
    <row r="4" spans="1:5" x14ac:dyDescent="0.25">
      <c r="A4" s="6">
        <v>0</v>
      </c>
      <c r="B4">
        <v>139</v>
      </c>
      <c r="C4" s="7">
        <v>47900.355871886124</v>
      </c>
      <c r="D4">
        <v>142</v>
      </c>
      <c r="E4" s="7">
        <v>47900.355871886124</v>
      </c>
    </row>
    <row r="5" spans="1:5" x14ac:dyDescent="0.25">
      <c r="A5" s="6">
        <v>1</v>
      </c>
      <c r="B5">
        <v>72</v>
      </c>
      <c r="C5" s="7">
        <v>55325.44378698225</v>
      </c>
      <c r="D5">
        <v>97</v>
      </c>
      <c r="E5" s="7">
        <v>55325.44378698225</v>
      </c>
    </row>
    <row r="6" spans="1:5" x14ac:dyDescent="0.25">
      <c r="A6" s="6">
        <v>2</v>
      </c>
      <c r="B6">
        <v>112</v>
      </c>
      <c r="C6" s="7">
        <v>51052.631578947367</v>
      </c>
      <c r="D6">
        <v>97</v>
      </c>
      <c r="E6" s="7">
        <v>51052.631578947367</v>
      </c>
    </row>
    <row r="7" spans="1:5" x14ac:dyDescent="0.25">
      <c r="A7" s="6">
        <v>3</v>
      </c>
      <c r="B7">
        <v>61</v>
      </c>
      <c r="C7" s="7">
        <v>60074.626865671642</v>
      </c>
      <c r="D7">
        <v>73</v>
      </c>
      <c r="E7" s="7">
        <v>60074.626865671642</v>
      </c>
    </row>
    <row r="8" spans="1:5" x14ac:dyDescent="0.25">
      <c r="A8" s="6">
        <v>4</v>
      </c>
      <c r="B8">
        <v>72</v>
      </c>
      <c r="C8" s="7">
        <v>70952.380952380947</v>
      </c>
      <c r="D8">
        <v>54</v>
      </c>
      <c r="E8" s="7">
        <v>70952.380952380947</v>
      </c>
    </row>
    <row r="9" spans="1:5" x14ac:dyDescent="0.25">
      <c r="A9" s="6">
        <v>5</v>
      </c>
      <c r="B9">
        <v>63</v>
      </c>
      <c r="C9" s="7">
        <v>72716.049382716054</v>
      </c>
      <c r="D9">
        <v>18</v>
      </c>
      <c r="E9" s="7">
        <v>72716.049382716054</v>
      </c>
    </row>
    <row r="10" spans="1:5" x14ac:dyDescent="0.25">
      <c r="A10" s="6" t="s">
        <v>42</v>
      </c>
      <c r="B10">
        <v>519</v>
      </c>
      <c r="C10" s="7">
        <v>56360</v>
      </c>
      <c r="D10">
        <v>481</v>
      </c>
      <c r="E10" s="7">
        <v>56360</v>
      </c>
    </row>
    <row r="15" spans="1:5" x14ac:dyDescent="0.25">
      <c r="A15" s="5" t="s">
        <v>43</v>
      </c>
      <c r="B15" s="5" t="s">
        <v>44</v>
      </c>
    </row>
    <row r="16" spans="1:5" x14ac:dyDescent="0.25">
      <c r="A16" s="5" t="s">
        <v>41</v>
      </c>
      <c r="B16" t="s">
        <v>18</v>
      </c>
      <c r="C16" t="s">
        <v>15</v>
      </c>
      <c r="D16" t="s">
        <v>42</v>
      </c>
    </row>
    <row r="17" spans="1:4" x14ac:dyDescent="0.25">
      <c r="A17" s="6" t="s">
        <v>39</v>
      </c>
      <c r="B17">
        <v>250</v>
      </c>
      <c r="C17">
        <v>239</v>
      </c>
      <c r="D17">
        <v>489</v>
      </c>
    </row>
    <row r="18" spans="1:4" x14ac:dyDescent="0.25">
      <c r="A18" s="6" t="s">
        <v>38</v>
      </c>
      <c r="B18">
        <v>269</v>
      </c>
      <c r="C18">
        <v>242</v>
      </c>
      <c r="D18">
        <v>511</v>
      </c>
    </row>
    <row r="19" spans="1:4" x14ac:dyDescent="0.25">
      <c r="A19" s="6" t="s">
        <v>42</v>
      </c>
      <c r="B19">
        <v>519</v>
      </c>
      <c r="C19">
        <v>481</v>
      </c>
      <c r="D19">
        <v>1000</v>
      </c>
    </row>
    <row r="23" spans="1:4" x14ac:dyDescent="0.25">
      <c r="A23" s="5" t="s">
        <v>43</v>
      </c>
      <c r="B23" s="5" t="s">
        <v>44</v>
      </c>
    </row>
    <row r="24" spans="1:4" x14ac:dyDescent="0.25">
      <c r="A24" s="5" t="s">
        <v>41</v>
      </c>
      <c r="B24" t="s">
        <v>18</v>
      </c>
      <c r="C24" t="s">
        <v>15</v>
      </c>
      <c r="D24" t="s">
        <v>42</v>
      </c>
    </row>
    <row r="25" spans="1:4" x14ac:dyDescent="0.25">
      <c r="A25" s="6" t="s">
        <v>45</v>
      </c>
      <c r="B25">
        <v>78</v>
      </c>
      <c r="C25">
        <v>33</v>
      </c>
      <c r="D25">
        <v>111</v>
      </c>
    </row>
    <row r="26" spans="1:4" x14ac:dyDescent="0.25">
      <c r="A26" s="6" t="s">
        <v>23</v>
      </c>
      <c r="B26">
        <v>116</v>
      </c>
      <c r="C26">
        <v>76</v>
      </c>
      <c r="D26">
        <v>192</v>
      </c>
    </row>
    <row r="27" spans="1:4" x14ac:dyDescent="0.25">
      <c r="A27" s="6" t="s">
        <v>22</v>
      </c>
      <c r="B27">
        <v>67</v>
      </c>
      <c r="C27">
        <v>95</v>
      </c>
      <c r="D27">
        <v>162</v>
      </c>
    </row>
    <row r="28" spans="1:4" x14ac:dyDescent="0.25">
      <c r="A28" s="6" t="s">
        <v>26</v>
      </c>
      <c r="B28">
        <v>92</v>
      </c>
      <c r="C28">
        <v>77</v>
      </c>
      <c r="D28">
        <v>169</v>
      </c>
    </row>
    <row r="29" spans="1:4" x14ac:dyDescent="0.25">
      <c r="A29" s="6" t="s">
        <v>16</v>
      </c>
      <c r="B29">
        <v>166</v>
      </c>
      <c r="C29">
        <v>200</v>
      </c>
      <c r="D29">
        <v>366</v>
      </c>
    </row>
    <row r="30" spans="1:4" x14ac:dyDescent="0.25">
      <c r="A30" s="6" t="s">
        <v>42</v>
      </c>
      <c r="B30">
        <v>519</v>
      </c>
      <c r="C30">
        <v>481</v>
      </c>
      <c r="D30">
        <v>1000</v>
      </c>
    </row>
    <row r="33" spans="1:3" x14ac:dyDescent="0.25">
      <c r="A33" s="5" t="s">
        <v>43</v>
      </c>
      <c r="B33" s="5" t="s">
        <v>44</v>
      </c>
    </row>
    <row r="34" spans="1:3" x14ac:dyDescent="0.25">
      <c r="A34" s="5" t="s">
        <v>41</v>
      </c>
      <c r="B34" t="s">
        <v>18</v>
      </c>
      <c r="C34" t="s">
        <v>15</v>
      </c>
    </row>
    <row r="35" spans="1:3" x14ac:dyDescent="0.25">
      <c r="A35" s="6" t="s">
        <v>47</v>
      </c>
      <c r="B35">
        <v>48</v>
      </c>
      <c r="C35">
        <v>35</v>
      </c>
    </row>
    <row r="36" spans="1:3" x14ac:dyDescent="0.25">
      <c r="A36" s="6" t="s">
        <v>48</v>
      </c>
      <c r="B36">
        <v>122</v>
      </c>
      <c r="C36">
        <v>179</v>
      </c>
    </row>
    <row r="37" spans="1:3" x14ac:dyDescent="0.25">
      <c r="A37" s="6" t="s">
        <v>49</v>
      </c>
      <c r="B37">
        <v>307</v>
      </c>
      <c r="C37">
        <v>250</v>
      </c>
    </row>
    <row r="38" spans="1:3" x14ac:dyDescent="0.25">
      <c r="A38" s="6" t="s">
        <v>50</v>
      </c>
      <c r="B38">
        <v>42</v>
      </c>
      <c r="C38">
        <v>17</v>
      </c>
    </row>
    <row r="39" spans="1:3" x14ac:dyDescent="0.25">
      <c r="A39" s="6" t="s">
        <v>42</v>
      </c>
      <c r="B39">
        <v>519</v>
      </c>
      <c r="C39">
        <v>481</v>
      </c>
    </row>
    <row r="44" spans="1:3" x14ac:dyDescent="0.25">
      <c r="A44" s="5" t="s">
        <v>41</v>
      </c>
      <c r="B44" t="s">
        <v>43</v>
      </c>
    </row>
    <row r="45" spans="1:3" x14ac:dyDescent="0.25">
      <c r="A45" s="6" t="s">
        <v>18</v>
      </c>
      <c r="B45">
        <v>519</v>
      </c>
    </row>
    <row r="46" spans="1:3" x14ac:dyDescent="0.25">
      <c r="A46" s="6" t="s">
        <v>15</v>
      </c>
      <c r="B46">
        <v>481</v>
      </c>
    </row>
    <row r="47" spans="1:3" x14ac:dyDescent="0.25">
      <c r="A47" s="6" t="s">
        <v>42</v>
      </c>
      <c r="B47">
        <v>1000</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40C1-6F4C-4E12-94B6-B7ECD2C866A0}">
  <sheetPr codeName="Sheet3"/>
  <dimension ref="A1:N1027"/>
  <sheetViews>
    <sheetView workbookViewId="0">
      <selection activeCell="G2" sqref="G2:H995"/>
    </sheetView>
  </sheetViews>
  <sheetFormatPr defaultColWidth="11.85546875" defaultRowHeight="15" x14ac:dyDescent="0.25"/>
  <cols>
    <col min="1" max="1" width="6" bestFit="1" customWidth="1"/>
    <col min="2" max="2" width="15.5703125" bestFit="1" customWidth="1"/>
    <col min="3" max="3" width="9.85546875" bestFit="1" customWidth="1"/>
    <col min="4" max="4" width="11.140625" style="1" bestFit="1" customWidth="1"/>
    <col min="5" max="5" width="10.85546875" bestFit="1" customWidth="1"/>
    <col min="6" max="6" width="17.7109375" bestFit="1" customWidth="1"/>
    <col min="7" max="7" width="14.140625" bestFit="1" customWidth="1"/>
    <col min="8" max="8" width="15" bestFit="1" customWidth="1"/>
    <col min="9" max="9" width="7" style="3" bestFit="1" customWidth="1"/>
    <col min="10" max="10" width="20.28515625" bestFit="1" customWidth="1"/>
    <col min="11" max="11" width="14" bestFit="1" customWidth="1"/>
    <col min="12" max="12" width="6.7109375" style="3" bestFit="1" customWidth="1"/>
    <col min="13" max="13" width="14.5703125" style="3" bestFit="1" customWidth="1"/>
    <col min="14" max="14" width="16.85546875" bestFit="1" customWidth="1"/>
  </cols>
  <sheetData>
    <row r="1" spans="1:14" x14ac:dyDescent="0.25">
      <c r="A1" t="s">
        <v>0</v>
      </c>
      <c r="B1" t="s">
        <v>1</v>
      </c>
      <c r="C1" t="s">
        <v>2</v>
      </c>
      <c r="D1" s="1" t="s">
        <v>3</v>
      </c>
      <c r="E1" t="s">
        <v>4</v>
      </c>
      <c r="F1" t="s">
        <v>5</v>
      </c>
      <c r="G1" t="s">
        <v>6</v>
      </c>
      <c r="H1" t="s">
        <v>7</v>
      </c>
      <c r="I1" s="3" t="s">
        <v>8</v>
      </c>
      <c r="J1" t="s">
        <v>9</v>
      </c>
      <c r="K1" t="s">
        <v>10</v>
      </c>
      <c r="L1" s="3" t="s">
        <v>11</v>
      </c>
      <c r="M1" s="3" t="s">
        <v>40</v>
      </c>
      <c r="N1" t="s">
        <v>12</v>
      </c>
    </row>
    <row r="2" spans="1:14" x14ac:dyDescent="0.25">
      <c r="A2">
        <v>12496</v>
      </c>
      <c r="B2" t="s">
        <v>36</v>
      </c>
      <c r="C2" t="s">
        <v>39</v>
      </c>
      <c r="D2" s="1">
        <v>40000</v>
      </c>
      <c r="E2" s="3">
        <v>1</v>
      </c>
      <c r="F2" t="s">
        <v>13</v>
      </c>
      <c r="G2" t="s">
        <v>14</v>
      </c>
      <c r="H2" t="s">
        <v>15</v>
      </c>
      <c r="I2" s="3">
        <v>0</v>
      </c>
      <c r="J2" t="s">
        <v>16</v>
      </c>
      <c r="K2" t="s">
        <v>17</v>
      </c>
      <c r="L2" s="3">
        <v>42</v>
      </c>
      <c r="M2" s="3" t="str" cm="1">
        <f t="array" ref="M2">_xlfn.IFS(
L2&gt;=65,"Retirement Age",
AND(L2&lt;65,L2&gt;=40),"Middle Aged",
AND(L2&lt;40,L2&gt;=30),"In the 30s",
L2&lt;30,"Below 30")</f>
        <v>Middle Aged</v>
      </c>
      <c r="N2" t="s">
        <v>18</v>
      </c>
    </row>
    <row r="3" spans="1:14" x14ac:dyDescent="0.25">
      <c r="A3">
        <v>24107</v>
      </c>
      <c r="B3" t="s">
        <v>36</v>
      </c>
      <c r="C3" t="s">
        <v>38</v>
      </c>
      <c r="D3" s="1">
        <v>30000</v>
      </c>
      <c r="E3" s="3">
        <v>3</v>
      </c>
      <c r="F3" t="s">
        <v>19</v>
      </c>
      <c r="G3" t="s">
        <v>20</v>
      </c>
      <c r="H3" t="s">
        <v>15</v>
      </c>
      <c r="I3" s="3">
        <v>1</v>
      </c>
      <c r="J3" t="s">
        <v>16</v>
      </c>
      <c r="K3" t="s">
        <v>17</v>
      </c>
      <c r="L3" s="3">
        <v>43</v>
      </c>
      <c r="M3" s="3" t="str" cm="1">
        <f t="array" ref="M3">_xlfn.IFS(
L3&gt;=65,"Retirement Age",
AND(L3&lt;65,L3&gt;=40),"Middle Aged",
AND(L3&lt;40,L3&gt;=30),"In the 30s",
L3&lt;30,"Below 30")</f>
        <v>Middle Aged</v>
      </c>
      <c r="N3" t="s">
        <v>18</v>
      </c>
    </row>
    <row r="4" spans="1:14" x14ac:dyDescent="0.25">
      <c r="A4">
        <v>14177</v>
      </c>
      <c r="B4" t="s">
        <v>36</v>
      </c>
      <c r="C4" t="s">
        <v>38</v>
      </c>
      <c r="D4" s="1">
        <v>80000</v>
      </c>
      <c r="E4" s="3">
        <v>5</v>
      </c>
      <c r="F4" t="s">
        <v>19</v>
      </c>
      <c r="G4" t="s">
        <v>21</v>
      </c>
      <c r="H4" t="s">
        <v>18</v>
      </c>
      <c r="I4" s="3">
        <v>2</v>
      </c>
      <c r="J4" t="s">
        <v>22</v>
      </c>
      <c r="K4" t="s">
        <v>17</v>
      </c>
      <c r="L4" s="3">
        <v>60</v>
      </c>
      <c r="M4" s="3" t="str" cm="1">
        <f t="array" ref="M4">_xlfn.IFS(
L4&gt;=65,"Retirement Age",
AND(L4&lt;65,L4&gt;=40),"Middle Aged",
AND(L4&lt;40,L4&gt;=30),"In the 30s",
L4&lt;30,"Below 30")</f>
        <v>Middle Aged</v>
      </c>
      <c r="N4" t="s">
        <v>18</v>
      </c>
    </row>
    <row r="5" spans="1:14" x14ac:dyDescent="0.25">
      <c r="A5">
        <v>24381</v>
      </c>
      <c r="B5" t="s">
        <v>37</v>
      </c>
      <c r="C5" t="s">
        <v>38</v>
      </c>
      <c r="D5" s="1">
        <v>70000</v>
      </c>
      <c r="E5" s="3">
        <v>0</v>
      </c>
      <c r="F5" t="s">
        <v>13</v>
      </c>
      <c r="G5" t="s">
        <v>21</v>
      </c>
      <c r="H5" t="s">
        <v>15</v>
      </c>
      <c r="I5" s="3">
        <v>1</v>
      </c>
      <c r="J5" t="s">
        <v>23</v>
      </c>
      <c r="K5" t="s">
        <v>24</v>
      </c>
      <c r="L5" s="3">
        <v>41</v>
      </c>
      <c r="M5" s="3" t="str" cm="1">
        <f t="array" ref="M5">_xlfn.IFS(
L5&gt;=65,"Retirement Age",
AND(L5&lt;65,L5&gt;=40),"Middle Aged",
AND(L5&lt;40,L5&gt;=30),"In the 30s",
L5&lt;30,"Below 30")</f>
        <v>Middle Aged</v>
      </c>
      <c r="N5" t="s">
        <v>15</v>
      </c>
    </row>
    <row r="6" spans="1:14" x14ac:dyDescent="0.25">
      <c r="A6">
        <v>25597</v>
      </c>
      <c r="B6" t="s">
        <v>37</v>
      </c>
      <c r="C6" t="s">
        <v>38</v>
      </c>
      <c r="D6" s="1">
        <v>30000</v>
      </c>
      <c r="E6" s="3">
        <v>0</v>
      </c>
      <c r="F6" t="s">
        <v>13</v>
      </c>
      <c r="G6" t="s">
        <v>20</v>
      </c>
      <c r="H6" t="s">
        <v>18</v>
      </c>
      <c r="I6" s="3">
        <v>0</v>
      </c>
      <c r="J6" t="s">
        <v>16</v>
      </c>
      <c r="K6" t="s">
        <v>17</v>
      </c>
      <c r="L6" s="3">
        <v>36</v>
      </c>
      <c r="M6" s="3" t="str" cm="1">
        <f t="array" ref="M6">_xlfn.IFS(
L6&gt;=65,"Retirement Age",
AND(L6&lt;65,L6&gt;=40),"Middle Aged",
AND(L6&lt;40,L6&gt;=30),"In the 30s",
L6&lt;30,"Below 30")</f>
        <v>In the 30s</v>
      </c>
      <c r="N6" t="s">
        <v>15</v>
      </c>
    </row>
    <row r="7" spans="1:14" x14ac:dyDescent="0.25">
      <c r="A7">
        <v>13507</v>
      </c>
      <c r="B7" t="s">
        <v>36</v>
      </c>
      <c r="C7" t="s">
        <v>39</v>
      </c>
      <c r="D7" s="1">
        <v>10000</v>
      </c>
      <c r="E7" s="3">
        <v>2</v>
      </c>
      <c r="F7" t="s">
        <v>19</v>
      </c>
      <c r="G7" t="s">
        <v>25</v>
      </c>
      <c r="H7" t="s">
        <v>15</v>
      </c>
      <c r="I7" s="3">
        <v>0</v>
      </c>
      <c r="J7" t="s">
        <v>26</v>
      </c>
      <c r="K7" t="s">
        <v>17</v>
      </c>
      <c r="L7" s="3">
        <v>50</v>
      </c>
      <c r="M7" s="3" t="str" cm="1">
        <f t="array" ref="M7">_xlfn.IFS(
L7&gt;=65,"Retirement Age",
AND(L7&lt;65,L7&gt;=40),"Middle Aged",
AND(L7&lt;40,L7&gt;=30),"In the 30s",
L7&lt;30,"Below 30")</f>
        <v>Middle Aged</v>
      </c>
      <c r="N7" t="s">
        <v>18</v>
      </c>
    </row>
    <row r="8" spans="1:14" x14ac:dyDescent="0.25">
      <c r="A8">
        <v>27974</v>
      </c>
      <c r="B8" t="s">
        <v>37</v>
      </c>
      <c r="C8" t="s">
        <v>38</v>
      </c>
      <c r="D8" s="1">
        <v>160000</v>
      </c>
      <c r="E8" s="3">
        <v>2</v>
      </c>
      <c r="F8" t="s">
        <v>27</v>
      </c>
      <c r="G8" t="s">
        <v>28</v>
      </c>
      <c r="H8" t="s">
        <v>15</v>
      </c>
      <c r="I8" s="3">
        <v>4</v>
      </c>
      <c r="J8" t="s">
        <v>16</v>
      </c>
      <c r="K8" t="s">
        <v>24</v>
      </c>
      <c r="L8" s="3">
        <v>33</v>
      </c>
      <c r="M8" s="3" t="str" cm="1">
        <f t="array" ref="M8">_xlfn.IFS(
L8&gt;=65,"Retirement Age",
AND(L8&lt;65,L8&gt;=40),"Middle Aged",
AND(L8&lt;40,L8&gt;=30),"In the 30s",
L8&lt;30,"Below 30")</f>
        <v>In the 30s</v>
      </c>
      <c r="N8" t="s">
        <v>15</v>
      </c>
    </row>
    <row r="9" spans="1:14" x14ac:dyDescent="0.25">
      <c r="A9">
        <v>19364</v>
      </c>
      <c r="B9" t="s">
        <v>36</v>
      </c>
      <c r="C9" t="s">
        <v>38</v>
      </c>
      <c r="D9" s="1">
        <v>40000</v>
      </c>
      <c r="E9" s="3">
        <v>1</v>
      </c>
      <c r="F9" t="s">
        <v>13</v>
      </c>
      <c r="G9" t="s">
        <v>14</v>
      </c>
      <c r="H9" t="s">
        <v>15</v>
      </c>
      <c r="I9" s="3">
        <v>0</v>
      </c>
      <c r="J9" t="s">
        <v>16</v>
      </c>
      <c r="K9" t="s">
        <v>17</v>
      </c>
      <c r="L9" s="3">
        <v>43</v>
      </c>
      <c r="M9" s="3" t="str" cm="1">
        <f t="array" ref="M9">_xlfn.IFS(
L9&gt;=65,"Retirement Age",
AND(L9&lt;65,L9&gt;=40),"Middle Aged",
AND(L9&lt;40,L9&gt;=30),"In the 30s",
L9&lt;30,"Below 30")</f>
        <v>Middle Aged</v>
      </c>
      <c r="N9" t="s">
        <v>15</v>
      </c>
    </row>
    <row r="10" spans="1:14" x14ac:dyDescent="0.25">
      <c r="A10">
        <v>22155</v>
      </c>
      <c r="B10" t="s">
        <v>36</v>
      </c>
      <c r="C10" t="s">
        <v>38</v>
      </c>
      <c r="D10" s="1">
        <v>20000</v>
      </c>
      <c r="E10" s="3">
        <v>2</v>
      </c>
      <c r="F10" t="s">
        <v>29</v>
      </c>
      <c r="G10" t="s">
        <v>20</v>
      </c>
      <c r="H10" t="s">
        <v>15</v>
      </c>
      <c r="I10" s="3">
        <v>2</v>
      </c>
      <c r="J10" t="s">
        <v>23</v>
      </c>
      <c r="K10" t="s">
        <v>24</v>
      </c>
      <c r="L10" s="3">
        <v>58</v>
      </c>
      <c r="M10" s="3" t="str" cm="1">
        <f t="array" ref="M10">_xlfn.IFS(
L10&gt;=65,"Retirement Age",
AND(L10&lt;65,L10&gt;=40),"Middle Aged",
AND(L10&lt;40,L10&gt;=30),"In the 30s",
L10&lt;30,"Below 30")</f>
        <v>Middle Aged</v>
      </c>
      <c r="N10" t="s">
        <v>18</v>
      </c>
    </row>
    <row r="11" spans="1:14" x14ac:dyDescent="0.25">
      <c r="A11">
        <v>19280</v>
      </c>
      <c r="B11" t="s">
        <v>36</v>
      </c>
      <c r="C11" t="s">
        <v>38</v>
      </c>
      <c r="D11" s="1">
        <v>120000</v>
      </c>
      <c r="E11" s="3">
        <v>2</v>
      </c>
      <c r="F11" t="s">
        <v>19</v>
      </c>
      <c r="G11" t="s">
        <v>25</v>
      </c>
      <c r="H11" t="s">
        <v>15</v>
      </c>
      <c r="I11" s="3">
        <v>1</v>
      </c>
      <c r="J11" t="s">
        <v>16</v>
      </c>
      <c r="K11" t="s">
        <v>17</v>
      </c>
      <c r="L11" s="3">
        <v>40</v>
      </c>
      <c r="M11" s="3" t="str" cm="1">
        <f t="array" ref="M11">_xlfn.IFS(
L11&gt;=65,"Retirement Age",
AND(L11&lt;65,L11&gt;=40),"Middle Aged",
AND(L11&lt;40,L11&gt;=30),"In the 30s",
L11&lt;30,"Below 30")</f>
        <v>Middle Aged</v>
      </c>
      <c r="N11" t="s">
        <v>15</v>
      </c>
    </row>
    <row r="12" spans="1:14" x14ac:dyDescent="0.25">
      <c r="A12">
        <v>22173</v>
      </c>
      <c r="B12" t="s">
        <v>36</v>
      </c>
      <c r="C12" t="s">
        <v>39</v>
      </c>
      <c r="D12" s="1">
        <v>30000</v>
      </c>
      <c r="E12" s="3">
        <v>3</v>
      </c>
      <c r="F12" t="s">
        <v>27</v>
      </c>
      <c r="G12" t="s">
        <v>14</v>
      </c>
      <c r="H12" t="s">
        <v>18</v>
      </c>
      <c r="I12" s="3">
        <v>2</v>
      </c>
      <c r="J12" t="s">
        <v>26</v>
      </c>
      <c r="K12" t="s">
        <v>24</v>
      </c>
      <c r="L12" s="3">
        <v>54</v>
      </c>
      <c r="M12" s="3" t="str" cm="1">
        <f t="array" ref="M12">_xlfn.IFS(
L12&gt;=65,"Retirement Age",
AND(L12&lt;65,L12&gt;=40),"Middle Aged",
AND(L12&lt;40,L12&gt;=30),"In the 30s",
L12&lt;30,"Below 30")</f>
        <v>Middle Aged</v>
      </c>
      <c r="N12" t="s">
        <v>15</v>
      </c>
    </row>
    <row r="13" spans="1:14" x14ac:dyDescent="0.25">
      <c r="A13">
        <v>12697</v>
      </c>
      <c r="B13" t="s">
        <v>37</v>
      </c>
      <c r="C13" t="s">
        <v>39</v>
      </c>
      <c r="D13" s="1">
        <v>90000</v>
      </c>
      <c r="E13" s="3">
        <v>0</v>
      </c>
      <c r="F13" t="s">
        <v>13</v>
      </c>
      <c r="G13" t="s">
        <v>21</v>
      </c>
      <c r="H13" t="s">
        <v>18</v>
      </c>
      <c r="I13" s="3">
        <v>4</v>
      </c>
      <c r="J13" t="s">
        <v>45</v>
      </c>
      <c r="K13" t="s">
        <v>24</v>
      </c>
      <c r="L13" s="3">
        <v>36</v>
      </c>
      <c r="M13" s="3" t="str" cm="1">
        <f t="array" ref="M13">_xlfn.IFS(
L13&gt;=65,"Retirement Age",
AND(L13&lt;65,L13&gt;=40),"Middle Aged",
AND(L13&lt;40,L13&gt;=30),"In the 30s",
L13&lt;30,"Below 30")</f>
        <v>In the 30s</v>
      </c>
      <c r="N13" t="s">
        <v>18</v>
      </c>
    </row>
    <row r="14" spans="1:14" x14ac:dyDescent="0.25">
      <c r="A14">
        <v>11434</v>
      </c>
      <c r="B14" t="s">
        <v>36</v>
      </c>
      <c r="C14" t="s">
        <v>38</v>
      </c>
      <c r="D14" s="1">
        <v>170000</v>
      </c>
      <c r="E14" s="3">
        <v>5</v>
      </c>
      <c r="F14" t="s">
        <v>19</v>
      </c>
      <c r="G14" t="s">
        <v>21</v>
      </c>
      <c r="H14" t="s">
        <v>15</v>
      </c>
      <c r="I14" s="3">
        <v>0</v>
      </c>
      <c r="J14" t="s">
        <v>16</v>
      </c>
      <c r="K14" t="s">
        <v>17</v>
      </c>
      <c r="L14" s="3">
        <v>55</v>
      </c>
      <c r="M14" s="3" t="str" cm="1">
        <f t="array" ref="M14">_xlfn.IFS(
L14&gt;=65,"Retirement Age",
AND(L14&lt;65,L14&gt;=40),"Middle Aged",
AND(L14&lt;40,L14&gt;=30),"In the 30s",
L14&lt;30,"Below 30")</f>
        <v>Middle Aged</v>
      </c>
      <c r="N14" t="s">
        <v>18</v>
      </c>
    </row>
    <row r="15" spans="1:14" x14ac:dyDescent="0.25">
      <c r="A15">
        <v>25323</v>
      </c>
      <c r="B15" t="s">
        <v>36</v>
      </c>
      <c r="C15" t="s">
        <v>38</v>
      </c>
      <c r="D15" s="1">
        <v>40000</v>
      </c>
      <c r="E15" s="3">
        <v>2</v>
      </c>
      <c r="F15" t="s">
        <v>19</v>
      </c>
      <c r="G15" t="s">
        <v>20</v>
      </c>
      <c r="H15" t="s">
        <v>15</v>
      </c>
      <c r="I15" s="3">
        <v>1</v>
      </c>
      <c r="J15" t="s">
        <v>26</v>
      </c>
      <c r="K15" t="s">
        <v>17</v>
      </c>
      <c r="L15" s="3">
        <v>35</v>
      </c>
      <c r="M15" s="3" t="str" cm="1">
        <f t="array" ref="M15">_xlfn.IFS(
L15&gt;=65,"Retirement Age",
AND(L15&lt;65,L15&gt;=40),"Middle Aged",
AND(L15&lt;40,L15&gt;=30),"In the 30s",
L15&lt;30,"Below 30")</f>
        <v>In the 30s</v>
      </c>
      <c r="N15" t="s">
        <v>15</v>
      </c>
    </row>
    <row r="16" spans="1:14" x14ac:dyDescent="0.25">
      <c r="A16">
        <v>23542</v>
      </c>
      <c r="B16" t="s">
        <v>37</v>
      </c>
      <c r="C16" t="s">
        <v>38</v>
      </c>
      <c r="D16" s="1">
        <v>60000</v>
      </c>
      <c r="E16" s="3">
        <v>1</v>
      </c>
      <c r="F16" t="s">
        <v>19</v>
      </c>
      <c r="G16" t="s">
        <v>14</v>
      </c>
      <c r="H16" t="s">
        <v>18</v>
      </c>
      <c r="I16" s="3">
        <v>1</v>
      </c>
      <c r="J16" t="s">
        <v>16</v>
      </c>
      <c r="K16" t="s">
        <v>24</v>
      </c>
      <c r="L16" s="3">
        <v>45</v>
      </c>
      <c r="M16" s="3" t="str" cm="1">
        <f t="array" ref="M16">_xlfn.IFS(
L16&gt;=65,"Retirement Age",
AND(L16&lt;65,L16&gt;=40),"Middle Aged",
AND(L16&lt;40,L16&gt;=30),"In the 30s",
L16&lt;30,"Below 30")</f>
        <v>Middle Aged</v>
      </c>
      <c r="N16" t="s">
        <v>15</v>
      </c>
    </row>
    <row r="17" spans="1:14" x14ac:dyDescent="0.25">
      <c r="A17">
        <v>20870</v>
      </c>
      <c r="B17" t="s">
        <v>37</v>
      </c>
      <c r="C17" t="s">
        <v>39</v>
      </c>
      <c r="D17" s="1">
        <v>10000</v>
      </c>
      <c r="E17" s="3">
        <v>2</v>
      </c>
      <c r="F17" t="s">
        <v>27</v>
      </c>
      <c r="G17" t="s">
        <v>25</v>
      </c>
      <c r="H17" t="s">
        <v>15</v>
      </c>
      <c r="I17" s="3">
        <v>1</v>
      </c>
      <c r="J17" t="s">
        <v>16</v>
      </c>
      <c r="K17" t="s">
        <v>17</v>
      </c>
      <c r="L17" s="3">
        <v>38</v>
      </c>
      <c r="M17" s="3" t="str" cm="1">
        <f t="array" ref="M17">_xlfn.IFS(
L17&gt;=65,"Retirement Age",
AND(L17&lt;65,L17&gt;=40),"Middle Aged",
AND(L17&lt;40,L17&gt;=30),"In the 30s",
L17&lt;30,"Below 30")</f>
        <v>In the 30s</v>
      </c>
      <c r="N17" t="s">
        <v>15</v>
      </c>
    </row>
    <row r="18" spans="1:14" x14ac:dyDescent="0.25">
      <c r="A18">
        <v>23316</v>
      </c>
      <c r="B18" t="s">
        <v>37</v>
      </c>
      <c r="C18" t="s">
        <v>38</v>
      </c>
      <c r="D18" s="1">
        <v>30000</v>
      </c>
      <c r="E18" s="3">
        <v>3</v>
      </c>
      <c r="F18" t="s">
        <v>19</v>
      </c>
      <c r="G18" t="s">
        <v>20</v>
      </c>
      <c r="H18" t="s">
        <v>18</v>
      </c>
      <c r="I18" s="3">
        <v>2</v>
      </c>
      <c r="J18" t="s">
        <v>26</v>
      </c>
      <c r="K18" t="s">
        <v>24</v>
      </c>
      <c r="L18" s="3">
        <v>59</v>
      </c>
      <c r="M18" s="3" t="str" cm="1">
        <f t="array" ref="M18">_xlfn.IFS(
L18&gt;=65,"Retirement Age",
AND(L18&lt;65,L18&gt;=40),"Middle Aged",
AND(L18&lt;40,L18&gt;=30),"In the 30s",
L18&lt;30,"Below 30")</f>
        <v>Middle Aged</v>
      </c>
      <c r="N18" t="s">
        <v>15</v>
      </c>
    </row>
    <row r="19" spans="1:14" x14ac:dyDescent="0.25">
      <c r="A19">
        <v>12610</v>
      </c>
      <c r="B19" t="s">
        <v>36</v>
      </c>
      <c r="C19" t="s">
        <v>39</v>
      </c>
      <c r="D19" s="1">
        <v>30000</v>
      </c>
      <c r="E19" s="3">
        <v>1</v>
      </c>
      <c r="F19" t="s">
        <v>13</v>
      </c>
      <c r="G19" t="s">
        <v>20</v>
      </c>
      <c r="H19" t="s">
        <v>15</v>
      </c>
      <c r="I19" s="3">
        <v>0</v>
      </c>
      <c r="J19" t="s">
        <v>16</v>
      </c>
      <c r="K19" t="s">
        <v>17</v>
      </c>
      <c r="L19" s="3">
        <v>47</v>
      </c>
      <c r="M19" s="3" t="str" cm="1">
        <f t="array" ref="M19">_xlfn.IFS(
L19&gt;=65,"Retirement Age",
AND(L19&lt;65,L19&gt;=40),"Middle Aged",
AND(L19&lt;40,L19&gt;=30),"In the 30s",
L19&lt;30,"Below 30")</f>
        <v>Middle Aged</v>
      </c>
      <c r="N19" t="s">
        <v>18</v>
      </c>
    </row>
    <row r="20" spans="1:14" x14ac:dyDescent="0.25">
      <c r="A20">
        <v>27183</v>
      </c>
      <c r="B20" t="s">
        <v>37</v>
      </c>
      <c r="C20" t="s">
        <v>38</v>
      </c>
      <c r="D20" s="1">
        <v>40000</v>
      </c>
      <c r="E20" s="3">
        <v>2</v>
      </c>
      <c r="F20" t="s">
        <v>19</v>
      </c>
      <c r="G20" t="s">
        <v>20</v>
      </c>
      <c r="H20" t="s">
        <v>15</v>
      </c>
      <c r="I20" s="3">
        <v>1</v>
      </c>
      <c r="J20" t="s">
        <v>26</v>
      </c>
      <c r="K20" t="s">
        <v>17</v>
      </c>
      <c r="L20" s="3">
        <v>35</v>
      </c>
      <c r="M20" s="3" t="str" cm="1">
        <f t="array" ref="M20">_xlfn.IFS(
L20&gt;=65,"Retirement Age",
AND(L20&lt;65,L20&gt;=40),"Middle Aged",
AND(L20&lt;40,L20&gt;=30),"In the 30s",
L20&lt;30,"Below 30")</f>
        <v>In the 30s</v>
      </c>
      <c r="N20" t="s">
        <v>15</v>
      </c>
    </row>
    <row r="21" spans="1:14" x14ac:dyDescent="0.25">
      <c r="A21">
        <v>25940</v>
      </c>
      <c r="B21" t="s">
        <v>37</v>
      </c>
      <c r="C21" t="s">
        <v>38</v>
      </c>
      <c r="D21" s="1">
        <v>20000</v>
      </c>
      <c r="E21" s="3">
        <v>2</v>
      </c>
      <c r="F21" t="s">
        <v>29</v>
      </c>
      <c r="G21" t="s">
        <v>20</v>
      </c>
      <c r="H21" t="s">
        <v>15</v>
      </c>
      <c r="I21" s="3">
        <v>2</v>
      </c>
      <c r="J21" t="s">
        <v>23</v>
      </c>
      <c r="K21" t="s">
        <v>24</v>
      </c>
      <c r="L21" s="3">
        <v>55</v>
      </c>
      <c r="M21" s="3" t="str" cm="1">
        <f t="array" ref="M21">_xlfn.IFS(
L21&gt;=65,"Retirement Age",
AND(L21&lt;65,L21&gt;=40),"Middle Aged",
AND(L21&lt;40,L21&gt;=30),"In the 30s",
L21&lt;30,"Below 30")</f>
        <v>Middle Aged</v>
      </c>
      <c r="N21" t="s">
        <v>15</v>
      </c>
    </row>
    <row r="22" spans="1:14" x14ac:dyDescent="0.25">
      <c r="A22">
        <v>25598</v>
      </c>
      <c r="B22" t="s">
        <v>36</v>
      </c>
      <c r="C22" t="s">
        <v>39</v>
      </c>
      <c r="D22" s="1">
        <v>40000</v>
      </c>
      <c r="E22" s="3">
        <v>0</v>
      </c>
      <c r="F22" t="s">
        <v>31</v>
      </c>
      <c r="G22" t="s">
        <v>20</v>
      </c>
      <c r="H22" t="s">
        <v>15</v>
      </c>
      <c r="I22" s="3">
        <v>0</v>
      </c>
      <c r="J22" t="s">
        <v>16</v>
      </c>
      <c r="K22" t="s">
        <v>17</v>
      </c>
      <c r="L22" s="3">
        <v>36</v>
      </c>
      <c r="M22" s="3" t="str" cm="1">
        <f t="array" ref="M22">_xlfn.IFS(
L22&gt;=65,"Retirement Age",
AND(L22&lt;65,L22&gt;=40),"Middle Aged",
AND(L22&lt;40,L22&gt;=30),"In the 30s",
L22&lt;30,"Below 30")</f>
        <v>In the 30s</v>
      </c>
      <c r="N22" t="s">
        <v>15</v>
      </c>
    </row>
    <row r="23" spans="1:14" x14ac:dyDescent="0.25">
      <c r="A23">
        <v>21564</v>
      </c>
      <c r="B23" t="s">
        <v>37</v>
      </c>
      <c r="C23" t="s">
        <v>39</v>
      </c>
      <c r="D23" s="1">
        <v>80000</v>
      </c>
      <c r="E23" s="3">
        <v>0</v>
      </c>
      <c r="F23" t="s">
        <v>13</v>
      </c>
      <c r="G23" t="s">
        <v>21</v>
      </c>
      <c r="H23" t="s">
        <v>15</v>
      </c>
      <c r="I23" s="3">
        <v>4</v>
      </c>
      <c r="J23" t="s">
        <v>45</v>
      </c>
      <c r="K23" t="s">
        <v>24</v>
      </c>
      <c r="L23" s="3">
        <v>35</v>
      </c>
      <c r="M23" s="3" t="str" cm="1">
        <f t="array" ref="M23">_xlfn.IFS(
L23&gt;=65,"Retirement Age",
AND(L23&lt;65,L23&gt;=40),"Middle Aged",
AND(L23&lt;40,L23&gt;=30),"In the 30s",
L23&lt;30,"Below 30")</f>
        <v>In the 30s</v>
      </c>
      <c r="N23" t="s">
        <v>18</v>
      </c>
    </row>
    <row r="24" spans="1:14" x14ac:dyDescent="0.25">
      <c r="A24">
        <v>19193</v>
      </c>
      <c r="B24" t="s">
        <v>37</v>
      </c>
      <c r="C24" t="s">
        <v>38</v>
      </c>
      <c r="D24" s="1">
        <v>40000</v>
      </c>
      <c r="E24" s="3">
        <v>2</v>
      </c>
      <c r="F24" t="s">
        <v>19</v>
      </c>
      <c r="G24" t="s">
        <v>20</v>
      </c>
      <c r="H24" t="s">
        <v>15</v>
      </c>
      <c r="I24" s="3">
        <v>0</v>
      </c>
      <c r="J24" t="s">
        <v>26</v>
      </c>
      <c r="K24" t="s">
        <v>17</v>
      </c>
      <c r="L24" s="3">
        <v>35</v>
      </c>
      <c r="M24" s="3" t="str" cm="1">
        <f t="array" ref="M24">_xlfn.IFS(
L24&gt;=65,"Retirement Age",
AND(L24&lt;65,L24&gt;=40),"Middle Aged",
AND(L24&lt;40,L24&gt;=30),"In the 30s",
L24&lt;30,"Below 30")</f>
        <v>In the 30s</v>
      </c>
      <c r="N24" t="s">
        <v>15</v>
      </c>
    </row>
    <row r="25" spans="1:14" x14ac:dyDescent="0.25">
      <c r="A25">
        <v>26412</v>
      </c>
      <c r="B25" t="s">
        <v>36</v>
      </c>
      <c r="C25" t="s">
        <v>39</v>
      </c>
      <c r="D25" s="1">
        <v>80000</v>
      </c>
      <c r="E25" s="3">
        <v>5</v>
      </c>
      <c r="F25" t="s">
        <v>27</v>
      </c>
      <c r="G25" t="s">
        <v>28</v>
      </c>
      <c r="H25" t="s">
        <v>18</v>
      </c>
      <c r="I25" s="3">
        <v>3</v>
      </c>
      <c r="J25" t="s">
        <v>23</v>
      </c>
      <c r="K25" t="s">
        <v>17</v>
      </c>
      <c r="L25" s="3">
        <v>56</v>
      </c>
      <c r="M25" s="3" t="str" cm="1">
        <f t="array" ref="M25">_xlfn.IFS(
L25&gt;=65,"Retirement Age",
AND(L25&lt;65,L25&gt;=40),"Middle Aged",
AND(L25&lt;40,L25&gt;=30),"In the 30s",
L25&lt;30,"Below 30")</f>
        <v>Middle Aged</v>
      </c>
      <c r="N25" t="s">
        <v>18</v>
      </c>
    </row>
    <row r="26" spans="1:14" x14ac:dyDescent="0.25">
      <c r="A26">
        <v>27184</v>
      </c>
      <c r="B26" t="s">
        <v>37</v>
      </c>
      <c r="C26" t="s">
        <v>38</v>
      </c>
      <c r="D26" s="1">
        <v>40000</v>
      </c>
      <c r="E26" s="3">
        <v>2</v>
      </c>
      <c r="F26" t="s">
        <v>19</v>
      </c>
      <c r="G26" t="s">
        <v>20</v>
      </c>
      <c r="H26" t="s">
        <v>18</v>
      </c>
      <c r="I26" s="3">
        <v>1</v>
      </c>
      <c r="J26" t="s">
        <v>16</v>
      </c>
      <c r="K26" t="s">
        <v>17</v>
      </c>
      <c r="L26" s="3">
        <v>34</v>
      </c>
      <c r="M26" s="3" t="str" cm="1">
        <f t="array" ref="M26">_xlfn.IFS(
L26&gt;=65,"Retirement Age",
AND(L26&lt;65,L26&gt;=40),"Middle Aged",
AND(L26&lt;40,L26&gt;=30),"In the 30s",
L26&lt;30,"Below 30")</f>
        <v>In the 30s</v>
      </c>
      <c r="N26" t="s">
        <v>18</v>
      </c>
    </row>
    <row r="27" spans="1:14" x14ac:dyDescent="0.25">
      <c r="A27">
        <v>12590</v>
      </c>
      <c r="B27" t="s">
        <v>37</v>
      </c>
      <c r="C27" t="s">
        <v>38</v>
      </c>
      <c r="D27" s="1">
        <v>30000</v>
      </c>
      <c r="E27" s="3">
        <v>1</v>
      </c>
      <c r="F27" t="s">
        <v>13</v>
      </c>
      <c r="G27" t="s">
        <v>20</v>
      </c>
      <c r="H27" t="s">
        <v>15</v>
      </c>
      <c r="I27" s="3">
        <v>0</v>
      </c>
      <c r="J27" t="s">
        <v>16</v>
      </c>
      <c r="K27" t="s">
        <v>17</v>
      </c>
      <c r="L27" s="3">
        <v>63</v>
      </c>
      <c r="M27" s="3" t="str" cm="1">
        <f t="array" ref="M27">_xlfn.IFS(
L27&gt;=65,"Retirement Age",
AND(L27&lt;65,L27&gt;=40),"Middle Aged",
AND(L27&lt;40,L27&gt;=30),"In the 30s",
L27&lt;30,"Below 30")</f>
        <v>Middle Aged</v>
      </c>
      <c r="N27" t="s">
        <v>18</v>
      </c>
    </row>
    <row r="28" spans="1:14" x14ac:dyDescent="0.25">
      <c r="A28">
        <v>17841</v>
      </c>
      <c r="B28" t="s">
        <v>37</v>
      </c>
      <c r="C28" t="s">
        <v>38</v>
      </c>
      <c r="D28" s="1">
        <v>30000</v>
      </c>
      <c r="E28" s="3">
        <v>0</v>
      </c>
      <c r="F28" t="s">
        <v>19</v>
      </c>
      <c r="G28" t="s">
        <v>20</v>
      </c>
      <c r="H28" t="s">
        <v>18</v>
      </c>
      <c r="I28" s="3">
        <v>1</v>
      </c>
      <c r="J28" t="s">
        <v>16</v>
      </c>
      <c r="K28" t="s">
        <v>17</v>
      </c>
      <c r="L28" s="3">
        <v>29</v>
      </c>
      <c r="M28" s="3" t="str" cm="1">
        <f t="array" ref="M28">_xlfn.IFS(
L28&gt;=65,"Retirement Age",
AND(L28&lt;65,L28&gt;=40),"Middle Aged",
AND(L28&lt;40,L28&gt;=30),"In the 30s",
L28&lt;30,"Below 30")</f>
        <v>Below 30</v>
      </c>
      <c r="N28" t="s">
        <v>15</v>
      </c>
    </row>
    <row r="29" spans="1:14" x14ac:dyDescent="0.25">
      <c r="A29">
        <v>18283</v>
      </c>
      <c r="B29" t="s">
        <v>37</v>
      </c>
      <c r="C29" t="s">
        <v>39</v>
      </c>
      <c r="D29" s="1">
        <v>100000</v>
      </c>
      <c r="E29" s="3">
        <v>0</v>
      </c>
      <c r="F29" t="s">
        <v>13</v>
      </c>
      <c r="G29" t="s">
        <v>21</v>
      </c>
      <c r="H29" t="s">
        <v>18</v>
      </c>
      <c r="I29" s="3">
        <v>1</v>
      </c>
      <c r="J29" t="s">
        <v>23</v>
      </c>
      <c r="K29" t="s">
        <v>24</v>
      </c>
      <c r="L29" s="3">
        <v>40</v>
      </c>
      <c r="M29" s="3" t="str" cm="1">
        <f t="array" ref="M29">_xlfn.IFS(
L29&gt;=65,"Retirement Age",
AND(L29&lt;65,L29&gt;=40),"Middle Aged",
AND(L29&lt;40,L29&gt;=30),"In the 30s",
L29&lt;30,"Below 30")</f>
        <v>Middle Aged</v>
      </c>
      <c r="N29" t="s">
        <v>18</v>
      </c>
    </row>
    <row r="30" spans="1:14" x14ac:dyDescent="0.25">
      <c r="A30">
        <v>18299</v>
      </c>
      <c r="B30" t="s">
        <v>36</v>
      </c>
      <c r="C30" t="s">
        <v>38</v>
      </c>
      <c r="D30" s="1">
        <v>70000</v>
      </c>
      <c r="E30" s="3">
        <v>5</v>
      </c>
      <c r="F30" t="s">
        <v>19</v>
      </c>
      <c r="G30" t="s">
        <v>14</v>
      </c>
      <c r="H30" t="s">
        <v>15</v>
      </c>
      <c r="I30" s="3">
        <v>2</v>
      </c>
      <c r="J30" t="s">
        <v>23</v>
      </c>
      <c r="K30" t="s">
        <v>24</v>
      </c>
      <c r="L30" s="3">
        <v>44</v>
      </c>
      <c r="M30" s="3" t="str" cm="1">
        <f t="array" ref="M30">_xlfn.IFS(
L30&gt;=65,"Retirement Age",
AND(L30&lt;65,L30&gt;=40),"Middle Aged",
AND(L30&lt;40,L30&gt;=30),"In the 30s",
L30&lt;30,"Below 30")</f>
        <v>Middle Aged</v>
      </c>
      <c r="N30" t="s">
        <v>18</v>
      </c>
    </row>
    <row r="31" spans="1:14" x14ac:dyDescent="0.25">
      <c r="A31">
        <v>16466</v>
      </c>
      <c r="B31" t="s">
        <v>37</v>
      </c>
      <c r="C31" t="s">
        <v>39</v>
      </c>
      <c r="D31" s="1">
        <v>20000</v>
      </c>
      <c r="E31" s="3">
        <v>0</v>
      </c>
      <c r="F31" t="s">
        <v>29</v>
      </c>
      <c r="G31" t="s">
        <v>25</v>
      </c>
      <c r="H31" t="s">
        <v>18</v>
      </c>
      <c r="I31" s="3">
        <v>2</v>
      </c>
      <c r="J31" t="s">
        <v>16</v>
      </c>
      <c r="K31" t="s">
        <v>17</v>
      </c>
      <c r="L31" s="3">
        <v>32</v>
      </c>
      <c r="M31" s="3" t="str" cm="1">
        <f t="array" ref="M31">_xlfn.IFS(
L31&gt;=65,"Retirement Age",
AND(L31&lt;65,L31&gt;=40),"Middle Aged",
AND(L31&lt;40,L31&gt;=30),"In the 30s",
L31&lt;30,"Below 30")</f>
        <v>In the 30s</v>
      </c>
      <c r="N31" t="s">
        <v>15</v>
      </c>
    </row>
    <row r="32" spans="1:14" x14ac:dyDescent="0.25">
      <c r="A32">
        <v>19273</v>
      </c>
      <c r="B32" t="s">
        <v>36</v>
      </c>
      <c r="C32" t="s">
        <v>39</v>
      </c>
      <c r="D32" s="1">
        <v>20000</v>
      </c>
      <c r="E32" s="3">
        <v>2</v>
      </c>
      <c r="F32" t="s">
        <v>19</v>
      </c>
      <c r="G32" t="s">
        <v>25</v>
      </c>
      <c r="H32" t="s">
        <v>15</v>
      </c>
      <c r="I32" s="3">
        <v>0</v>
      </c>
      <c r="J32" t="s">
        <v>16</v>
      </c>
      <c r="K32" t="s">
        <v>17</v>
      </c>
      <c r="L32" s="3">
        <v>63</v>
      </c>
      <c r="M32" s="3" t="str" cm="1">
        <f t="array" ref="M32">_xlfn.IFS(
L32&gt;=65,"Retirement Age",
AND(L32&lt;65,L32&gt;=40),"Middle Aged",
AND(L32&lt;40,L32&gt;=30),"In the 30s",
L32&lt;30,"Below 30")</f>
        <v>Middle Aged</v>
      </c>
      <c r="N32" t="s">
        <v>18</v>
      </c>
    </row>
    <row r="33" spans="1:14" x14ac:dyDescent="0.25">
      <c r="A33">
        <v>22400</v>
      </c>
      <c r="B33" t="s">
        <v>36</v>
      </c>
      <c r="C33" t="s">
        <v>38</v>
      </c>
      <c r="D33" s="1">
        <v>10000</v>
      </c>
      <c r="E33" s="3">
        <v>0</v>
      </c>
      <c r="F33" t="s">
        <v>19</v>
      </c>
      <c r="G33" t="s">
        <v>25</v>
      </c>
      <c r="H33" t="s">
        <v>18</v>
      </c>
      <c r="I33" s="3">
        <v>1</v>
      </c>
      <c r="J33" t="s">
        <v>16</v>
      </c>
      <c r="K33" t="s">
        <v>24</v>
      </c>
      <c r="L33" s="3">
        <v>26</v>
      </c>
      <c r="M33" s="3" t="str" cm="1">
        <f t="array" ref="M33">_xlfn.IFS(
L33&gt;=65,"Retirement Age",
AND(L33&lt;65,L33&gt;=40),"Middle Aged",
AND(L33&lt;40,L33&gt;=30),"In the 30s",
L33&lt;30,"Below 30")</f>
        <v>Below 30</v>
      </c>
      <c r="N33" t="s">
        <v>15</v>
      </c>
    </row>
    <row r="34" spans="1:14" x14ac:dyDescent="0.25">
      <c r="A34">
        <v>20942</v>
      </c>
      <c r="B34" t="s">
        <v>37</v>
      </c>
      <c r="C34" t="s">
        <v>39</v>
      </c>
      <c r="D34" s="1">
        <v>20000</v>
      </c>
      <c r="E34" s="3">
        <v>0</v>
      </c>
      <c r="F34" t="s">
        <v>27</v>
      </c>
      <c r="G34" t="s">
        <v>25</v>
      </c>
      <c r="H34" t="s">
        <v>18</v>
      </c>
      <c r="I34" s="3">
        <v>1</v>
      </c>
      <c r="J34" t="s">
        <v>23</v>
      </c>
      <c r="K34" t="s">
        <v>17</v>
      </c>
      <c r="L34" s="3">
        <v>31</v>
      </c>
      <c r="M34" s="3" t="str" cm="1">
        <f t="array" ref="M34">_xlfn.IFS(
L34&gt;=65,"Retirement Age",
AND(L34&lt;65,L34&gt;=40),"Middle Aged",
AND(L34&lt;40,L34&gt;=30),"In the 30s",
L34&lt;30,"Below 30")</f>
        <v>In the 30s</v>
      </c>
      <c r="N34" t="s">
        <v>18</v>
      </c>
    </row>
    <row r="35" spans="1:14" x14ac:dyDescent="0.25">
      <c r="A35">
        <v>18484</v>
      </c>
      <c r="B35" t="s">
        <v>37</v>
      </c>
      <c r="C35" t="s">
        <v>38</v>
      </c>
      <c r="D35" s="1">
        <v>80000</v>
      </c>
      <c r="E35" s="3">
        <v>2</v>
      </c>
      <c r="F35" t="s">
        <v>27</v>
      </c>
      <c r="G35" t="s">
        <v>14</v>
      </c>
      <c r="H35" t="s">
        <v>18</v>
      </c>
      <c r="I35" s="3">
        <v>2</v>
      </c>
      <c r="J35" t="s">
        <v>26</v>
      </c>
      <c r="K35" t="s">
        <v>24</v>
      </c>
      <c r="L35" s="3">
        <v>50</v>
      </c>
      <c r="M35" s="3" t="str" cm="1">
        <f t="array" ref="M35">_xlfn.IFS(
L35&gt;=65,"Retirement Age",
AND(L35&lt;65,L35&gt;=40),"Middle Aged",
AND(L35&lt;40,L35&gt;=30),"In the 30s",
L35&lt;30,"Below 30")</f>
        <v>Middle Aged</v>
      </c>
      <c r="N35" t="s">
        <v>15</v>
      </c>
    </row>
    <row r="36" spans="1:14" x14ac:dyDescent="0.25">
      <c r="A36">
        <v>12291</v>
      </c>
      <c r="B36" t="s">
        <v>37</v>
      </c>
      <c r="C36" t="s">
        <v>38</v>
      </c>
      <c r="D36" s="1">
        <v>90000</v>
      </c>
      <c r="E36" s="3">
        <v>5</v>
      </c>
      <c r="F36" t="s">
        <v>19</v>
      </c>
      <c r="G36" t="s">
        <v>21</v>
      </c>
      <c r="H36" t="s">
        <v>18</v>
      </c>
      <c r="I36" s="3">
        <v>2</v>
      </c>
      <c r="J36" t="s">
        <v>22</v>
      </c>
      <c r="K36" t="s">
        <v>17</v>
      </c>
      <c r="L36" s="3">
        <v>62</v>
      </c>
      <c r="M36" s="3" t="str" cm="1">
        <f t="array" ref="M36">_xlfn.IFS(
L36&gt;=65,"Retirement Age",
AND(L36&lt;65,L36&gt;=40),"Middle Aged",
AND(L36&lt;40,L36&gt;=30),"In the 30s",
L36&lt;30,"Below 30")</f>
        <v>Middle Aged</v>
      </c>
      <c r="N36" t="s">
        <v>15</v>
      </c>
    </row>
    <row r="37" spans="1:14" x14ac:dyDescent="0.25">
      <c r="A37">
        <v>28380</v>
      </c>
      <c r="B37" t="s">
        <v>37</v>
      </c>
      <c r="C37" t="s">
        <v>39</v>
      </c>
      <c r="D37" s="1">
        <v>10000</v>
      </c>
      <c r="E37" s="3">
        <v>5</v>
      </c>
      <c r="F37" t="s">
        <v>29</v>
      </c>
      <c r="G37" t="s">
        <v>25</v>
      </c>
      <c r="H37" t="s">
        <v>18</v>
      </c>
      <c r="I37" s="3">
        <v>2</v>
      </c>
      <c r="J37" t="s">
        <v>16</v>
      </c>
      <c r="K37" t="s">
        <v>17</v>
      </c>
      <c r="L37" s="3">
        <v>41</v>
      </c>
      <c r="M37" s="3" t="str" cm="1">
        <f t="array" ref="M37">_xlfn.IFS(
L37&gt;=65,"Retirement Age",
AND(L37&lt;65,L37&gt;=40),"Middle Aged",
AND(L37&lt;40,L37&gt;=30),"In the 30s",
L37&lt;30,"Below 30")</f>
        <v>Middle Aged</v>
      </c>
      <c r="N37" t="s">
        <v>18</v>
      </c>
    </row>
    <row r="38" spans="1:14" x14ac:dyDescent="0.25">
      <c r="A38">
        <v>17891</v>
      </c>
      <c r="B38" t="s">
        <v>36</v>
      </c>
      <c r="C38" t="s">
        <v>39</v>
      </c>
      <c r="D38" s="1">
        <v>10000</v>
      </c>
      <c r="E38" s="3">
        <v>2</v>
      </c>
      <c r="F38" t="s">
        <v>19</v>
      </c>
      <c r="G38" t="s">
        <v>25</v>
      </c>
      <c r="H38" t="s">
        <v>15</v>
      </c>
      <c r="I38" s="3">
        <v>1</v>
      </c>
      <c r="J38" t="s">
        <v>16</v>
      </c>
      <c r="K38" t="s">
        <v>17</v>
      </c>
      <c r="L38" s="3">
        <v>50</v>
      </c>
      <c r="M38" s="3" t="str" cm="1">
        <f t="array" ref="M38">_xlfn.IFS(
L38&gt;=65,"Retirement Age",
AND(L38&lt;65,L38&gt;=40),"Middle Aged",
AND(L38&lt;40,L38&gt;=30),"In the 30s",
L38&lt;30,"Below 30")</f>
        <v>Middle Aged</v>
      </c>
      <c r="N38" t="s">
        <v>15</v>
      </c>
    </row>
    <row r="39" spans="1:14" x14ac:dyDescent="0.25">
      <c r="A39">
        <v>27832</v>
      </c>
      <c r="B39" t="s">
        <v>37</v>
      </c>
      <c r="C39" t="s">
        <v>39</v>
      </c>
      <c r="D39" s="1">
        <v>30000</v>
      </c>
      <c r="E39" s="3">
        <v>0</v>
      </c>
      <c r="F39" t="s">
        <v>19</v>
      </c>
      <c r="G39" t="s">
        <v>20</v>
      </c>
      <c r="H39" t="s">
        <v>18</v>
      </c>
      <c r="I39" s="3">
        <v>1</v>
      </c>
      <c r="J39" t="s">
        <v>22</v>
      </c>
      <c r="K39" t="s">
        <v>17</v>
      </c>
      <c r="L39" s="3">
        <v>30</v>
      </c>
      <c r="M39" s="3" t="str" cm="1">
        <f t="array" ref="M39">_xlfn.IFS(
L39&gt;=65,"Retirement Age",
AND(L39&lt;65,L39&gt;=40),"Middle Aged",
AND(L39&lt;40,L39&gt;=30),"In the 30s",
L39&lt;30,"Below 30")</f>
        <v>In the 30s</v>
      </c>
      <c r="N39" t="s">
        <v>18</v>
      </c>
    </row>
    <row r="40" spans="1:14" x14ac:dyDescent="0.25">
      <c r="A40">
        <v>26863</v>
      </c>
      <c r="B40" t="s">
        <v>37</v>
      </c>
      <c r="C40" t="s">
        <v>38</v>
      </c>
      <c r="D40" s="1">
        <v>20000</v>
      </c>
      <c r="E40" s="3">
        <v>0</v>
      </c>
      <c r="F40" t="s">
        <v>27</v>
      </c>
      <c r="G40" t="s">
        <v>25</v>
      </c>
      <c r="H40" t="s">
        <v>18</v>
      </c>
      <c r="I40" s="3">
        <v>1</v>
      </c>
      <c r="J40" t="s">
        <v>22</v>
      </c>
      <c r="K40" t="s">
        <v>17</v>
      </c>
      <c r="L40" s="3">
        <v>28</v>
      </c>
      <c r="M40" s="3" t="str" cm="1">
        <f t="array" ref="M40">_xlfn.IFS(
L40&gt;=65,"Retirement Age",
AND(L40&lt;65,L40&gt;=40),"Middle Aged",
AND(L40&lt;40,L40&gt;=30),"In the 30s",
L40&lt;30,"Below 30")</f>
        <v>Below 30</v>
      </c>
      <c r="N40" t="s">
        <v>18</v>
      </c>
    </row>
    <row r="41" spans="1:14" x14ac:dyDescent="0.25">
      <c r="A41">
        <v>16259</v>
      </c>
      <c r="B41" t="s">
        <v>37</v>
      </c>
      <c r="C41" t="s">
        <v>39</v>
      </c>
      <c r="D41" s="1">
        <v>10000</v>
      </c>
      <c r="E41" s="3">
        <v>4</v>
      </c>
      <c r="F41" t="s">
        <v>29</v>
      </c>
      <c r="G41" t="s">
        <v>25</v>
      </c>
      <c r="H41" t="s">
        <v>15</v>
      </c>
      <c r="I41" s="3">
        <v>2</v>
      </c>
      <c r="J41" t="s">
        <v>16</v>
      </c>
      <c r="K41" t="s">
        <v>17</v>
      </c>
      <c r="L41" s="3">
        <v>40</v>
      </c>
      <c r="M41" s="3" t="str" cm="1">
        <f t="array" ref="M41">_xlfn.IFS(
L41&gt;=65,"Retirement Age",
AND(L41&lt;65,L41&gt;=40),"Middle Aged",
AND(L41&lt;40,L41&gt;=30),"In the 30s",
L41&lt;30,"Below 30")</f>
        <v>Middle Aged</v>
      </c>
      <c r="N41" t="s">
        <v>15</v>
      </c>
    </row>
    <row r="42" spans="1:14" x14ac:dyDescent="0.25">
      <c r="A42">
        <v>27803</v>
      </c>
      <c r="B42" t="s">
        <v>37</v>
      </c>
      <c r="C42" t="s">
        <v>39</v>
      </c>
      <c r="D42" s="1">
        <v>30000</v>
      </c>
      <c r="E42" s="3">
        <v>2</v>
      </c>
      <c r="F42" t="s">
        <v>19</v>
      </c>
      <c r="G42" t="s">
        <v>20</v>
      </c>
      <c r="H42" t="s">
        <v>18</v>
      </c>
      <c r="I42" s="3">
        <v>0</v>
      </c>
      <c r="J42" t="s">
        <v>16</v>
      </c>
      <c r="K42" t="s">
        <v>17</v>
      </c>
      <c r="L42" s="3">
        <v>43</v>
      </c>
      <c r="M42" s="3" t="str" cm="1">
        <f t="array" ref="M42">_xlfn.IFS(
L42&gt;=65,"Retirement Age",
AND(L42&lt;65,L42&gt;=40),"Middle Aged",
AND(L42&lt;40,L42&gt;=30),"In the 30s",
L42&lt;30,"Below 30")</f>
        <v>Middle Aged</v>
      </c>
      <c r="N42" t="s">
        <v>18</v>
      </c>
    </row>
    <row r="43" spans="1:14" x14ac:dyDescent="0.25">
      <c r="A43">
        <v>14347</v>
      </c>
      <c r="B43" t="s">
        <v>37</v>
      </c>
      <c r="C43" t="s">
        <v>39</v>
      </c>
      <c r="D43" s="1">
        <v>40000</v>
      </c>
      <c r="E43" s="3">
        <v>2</v>
      </c>
      <c r="F43" t="s">
        <v>13</v>
      </c>
      <c r="G43" t="s">
        <v>28</v>
      </c>
      <c r="H43" t="s">
        <v>15</v>
      </c>
      <c r="I43" s="3">
        <v>2</v>
      </c>
      <c r="J43" t="s">
        <v>23</v>
      </c>
      <c r="K43" t="s">
        <v>24</v>
      </c>
      <c r="L43" s="3">
        <v>65</v>
      </c>
      <c r="M43" s="3" t="str" cm="1">
        <f t="array" ref="M43">_xlfn.IFS(
L43&gt;=65,"Retirement Age",
AND(L43&lt;65,L43&gt;=40),"Middle Aged",
AND(L43&lt;40,L43&gt;=30),"In the 30s",
L43&lt;30,"Below 30")</f>
        <v>Retirement Age</v>
      </c>
      <c r="N43" t="s">
        <v>15</v>
      </c>
    </row>
    <row r="44" spans="1:14" x14ac:dyDescent="0.25">
      <c r="A44">
        <v>17703</v>
      </c>
      <c r="B44" t="s">
        <v>36</v>
      </c>
      <c r="C44" t="s">
        <v>39</v>
      </c>
      <c r="D44" s="1">
        <v>10000</v>
      </c>
      <c r="E44" s="3">
        <v>1</v>
      </c>
      <c r="F44" t="s">
        <v>31</v>
      </c>
      <c r="G44" t="s">
        <v>25</v>
      </c>
      <c r="H44" t="s">
        <v>15</v>
      </c>
      <c r="I44" s="3">
        <v>0</v>
      </c>
      <c r="J44" t="s">
        <v>16</v>
      </c>
      <c r="K44" t="s">
        <v>17</v>
      </c>
      <c r="L44" s="3">
        <v>40</v>
      </c>
      <c r="M44" s="3" t="str" cm="1">
        <f t="array" ref="M44">_xlfn.IFS(
L44&gt;=65,"Retirement Age",
AND(L44&lt;65,L44&gt;=40),"Middle Aged",
AND(L44&lt;40,L44&gt;=30),"In the 30s",
L44&lt;30,"Below 30")</f>
        <v>Middle Aged</v>
      </c>
      <c r="N44" t="s">
        <v>18</v>
      </c>
    </row>
    <row r="45" spans="1:14" x14ac:dyDescent="0.25">
      <c r="A45">
        <v>17185</v>
      </c>
      <c r="B45" t="s">
        <v>36</v>
      </c>
      <c r="C45" t="s">
        <v>39</v>
      </c>
      <c r="D45" s="1">
        <v>170000</v>
      </c>
      <c r="E45" s="3">
        <v>4</v>
      </c>
      <c r="F45" t="s">
        <v>19</v>
      </c>
      <c r="G45" t="s">
        <v>21</v>
      </c>
      <c r="H45" t="s">
        <v>18</v>
      </c>
      <c r="I45" s="3">
        <v>3</v>
      </c>
      <c r="J45" t="s">
        <v>23</v>
      </c>
      <c r="K45" t="s">
        <v>17</v>
      </c>
      <c r="L45" s="3">
        <v>48</v>
      </c>
      <c r="M45" s="3" t="str" cm="1">
        <f t="array" ref="M45">_xlfn.IFS(
L45&gt;=65,"Retirement Age",
AND(L45&lt;65,L45&gt;=40),"Middle Aged",
AND(L45&lt;40,L45&gt;=30),"In the 30s",
L45&lt;30,"Below 30")</f>
        <v>Middle Aged</v>
      </c>
      <c r="N45" t="s">
        <v>15</v>
      </c>
    </row>
    <row r="46" spans="1:14" x14ac:dyDescent="0.25">
      <c r="A46">
        <v>29380</v>
      </c>
      <c r="B46" t="s">
        <v>36</v>
      </c>
      <c r="C46" t="s">
        <v>39</v>
      </c>
      <c r="D46" s="1">
        <v>20000</v>
      </c>
      <c r="E46" s="3">
        <v>3</v>
      </c>
      <c r="F46" t="s">
        <v>27</v>
      </c>
      <c r="G46" t="s">
        <v>25</v>
      </c>
      <c r="H46" t="s">
        <v>15</v>
      </c>
      <c r="I46" s="3">
        <v>0</v>
      </c>
      <c r="J46" t="s">
        <v>16</v>
      </c>
      <c r="K46" t="s">
        <v>17</v>
      </c>
      <c r="L46" s="3">
        <v>41</v>
      </c>
      <c r="M46" s="3" t="str" cm="1">
        <f t="array" ref="M46">_xlfn.IFS(
L46&gt;=65,"Retirement Age",
AND(L46&lt;65,L46&gt;=40),"Middle Aged",
AND(L46&lt;40,L46&gt;=30),"In the 30s",
L46&lt;30,"Below 30")</f>
        <v>Middle Aged</v>
      </c>
      <c r="N46" t="s">
        <v>15</v>
      </c>
    </row>
    <row r="47" spans="1:14" x14ac:dyDescent="0.25">
      <c r="A47">
        <v>23986</v>
      </c>
      <c r="B47" t="s">
        <v>36</v>
      </c>
      <c r="C47" t="s">
        <v>39</v>
      </c>
      <c r="D47" s="1">
        <v>20000</v>
      </c>
      <c r="E47" s="3">
        <v>1</v>
      </c>
      <c r="F47" t="s">
        <v>13</v>
      </c>
      <c r="G47" t="s">
        <v>20</v>
      </c>
      <c r="H47" t="s">
        <v>15</v>
      </c>
      <c r="I47" s="3">
        <v>0</v>
      </c>
      <c r="J47" t="s">
        <v>16</v>
      </c>
      <c r="K47" t="s">
        <v>17</v>
      </c>
      <c r="L47" s="3">
        <v>66</v>
      </c>
      <c r="M47" s="3" t="str" cm="1">
        <f t="array" ref="M47">_xlfn.IFS(
L47&gt;=65,"Retirement Age",
AND(L47&lt;65,L47&gt;=40),"Middle Aged",
AND(L47&lt;40,L47&gt;=30),"In the 30s",
L47&lt;30,"Below 30")</f>
        <v>Retirement Age</v>
      </c>
      <c r="N47" t="s">
        <v>15</v>
      </c>
    </row>
    <row r="48" spans="1:14" x14ac:dyDescent="0.25">
      <c r="A48">
        <v>24466</v>
      </c>
      <c r="B48" t="s">
        <v>36</v>
      </c>
      <c r="C48" t="s">
        <v>39</v>
      </c>
      <c r="D48" s="1">
        <v>60000</v>
      </c>
      <c r="E48" s="3">
        <v>1</v>
      </c>
      <c r="F48" t="s">
        <v>19</v>
      </c>
      <c r="G48" t="s">
        <v>14</v>
      </c>
      <c r="H48" t="s">
        <v>15</v>
      </c>
      <c r="I48" s="3">
        <v>1</v>
      </c>
      <c r="J48" t="s">
        <v>23</v>
      </c>
      <c r="K48" t="s">
        <v>24</v>
      </c>
      <c r="L48" s="3">
        <v>46</v>
      </c>
      <c r="M48" s="3" t="str" cm="1">
        <f t="array" ref="M48">_xlfn.IFS(
L48&gt;=65,"Retirement Age",
AND(L48&lt;65,L48&gt;=40),"Middle Aged",
AND(L48&lt;40,L48&gt;=30),"In the 30s",
L48&lt;30,"Below 30")</f>
        <v>Middle Aged</v>
      </c>
      <c r="N48" t="s">
        <v>15</v>
      </c>
    </row>
    <row r="49" spans="1:14" x14ac:dyDescent="0.25">
      <c r="A49">
        <v>29097</v>
      </c>
      <c r="B49" t="s">
        <v>37</v>
      </c>
      <c r="C49" t="s">
        <v>39</v>
      </c>
      <c r="D49" s="1">
        <v>40000</v>
      </c>
      <c r="E49" s="3">
        <v>2</v>
      </c>
      <c r="F49" t="s">
        <v>19</v>
      </c>
      <c r="G49" t="s">
        <v>14</v>
      </c>
      <c r="H49" t="s">
        <v>15</v>
      </c>
      <c r="I49" s="3">
        <v>2</v>
      </c>
      <c r="J49" t="s">
        <v>23</v>
      </c>
      <c r="K49" t="s">
        <v>24</v>
      </c>
      <c r="L49" s="3">
        <v>52</v>
      </c>
      <c r="M49" s="3" t="str" cm="1">
        <f t="array" ref="M49">_xlfn.IFS(
L49&gt;=65,"Retirement Age",
AND(L49&lt;65,L49&gt;=40),"Middle Aged",
AND(L49&lt;40,L49&gt;=30),"In the 30s",
L49&lt;30,"Below 30")</f>
        <v>Middle Aged</v>
      </c>
      <c r="N49" t="s">
        <v>15</v>
      </c>
    </row>
    <row r="50" spans="1:14" x14ac:dyDescent="0.25">
      <c r="A50">
        <v>19487</v>
      </c>
      <c r="B50" t="s">
        <v>36</v>
      </c>
      <c r="C50" t="s">
        <v>38</v>
      </c>
      <c r="D50" s="1">
        <v>30000</v>
      </c>
      <c r="E50" s="3">
        <v>2</v>
      </c>
      <c r="F50" t="s">
        <v>19</v>
      </c>
      <c r="G50" t="s">
        <v>20</v>
      </c>
      <c r="H50" t="s">
        <v>18</v>
      </c>
      <c r="I50" s="3">
        <v>2</v>
      </c>
      <c r="J50" t="s">
        <v>16</v>
      </c>
      <c r="K50" t="s">
        <v>17</v>
      </c>
      <c r="L50" s="3">
        <v>42</v>
      </c>
      <c r="M50" s="3" t="str" cm="1">
        <f t="array" ref="M50">_xlfn.IFS(
L50&gt;=65,"Retirement Age",
AND(L50&lt;65,L50&gt;=40),"Middle Aged",
AND(L50&lt;40,L50&gt;=30),"In the 30s",
L50&lt;30,"Below 30")</f>
        <v>Middle Aged</v>
      </c>
      <c r="N50" t="s">
        <v>18</v>
      </c>
    </row>
    <row r="51" spans="1:14" x14ac:dyDescent="0.25">
      <c r="A51">
        <v>14939</v>
      </c>
      <c r="B51" t="s">
        <v>37</v>
      </c>
      <c r="C51" t="s">
        <v>38</v>
      </c>
      <c r="D51" s="1">
        <v>40000</v>
      </c>
      <c r="E51" s="3">
        <v>0</v>
      </c>
      <c r="F51" t="s">
        <v>13</v>
      </c>
      <c r="G51" t="s">
        <v>20</v>
      </c>
      <c r="H51" t="s">
        <v>15</v>
      </c>
      <c r="I51" s="3">
        <v>0</v>
      </c>
      <c r="J51" t="s">
        <v>16</v>
      </c>
      <c r="K51" t="s">
        <v>17</v>
      </c>
      <c r="L51" s="3">
        <v>39</v>
      </c>
      <c r="M51" s="3" t="str" cm="1">
        <f t="array" ref="M51">_xlfn.IFS(
L51&gt;=65,"Retirement Age",
AND(L51&lt;65,L51&gt;=40),"Middle Aged",
AND(L51&lt;40,L51&gt;=30),"In the 30s",
L51&lt;30,"Below 30")</f>
        <v>In the 30s</v>
      </c>
      <c r="N51" t="s">
        <v>15</v>
      </c>
    </row>
    <row r="52" spans="1:14" x14ac:dyDescent="0.25">
      <c r="A52">
        <v>13826</v>
      </c>
      <c r="B52" t="s">
        <v>37</v>
      </c>
      <c r="C52" t="s">
        <v>39</v>
      </c>
      <c r="D52" s="1">
        <v>30000</v>
      </c>
      <c r="E52" s="3">
        <v>0</v>
      </c>
      <c r="F52" t="s">
        <v>19</v>
      </c>
      <c r="G52" t="s">
        <v>20</v>
      </c>
      <c r="H52" t="s">
        <v>18</v>
      </c>
      <c r="I52" s="3">
        <v>1</v>
      </c>
      <c r="J52" t="s">
        <v>16</v>
      </c>
      <c r="K52" t="s">
        <v>17</v>
      </c>
      <c r="L52" s="3">
        <v>28</v>
      </c>
      <c r="M52" s="3" t="str" cm="1">
        <f t="array" ref="M52">_xlfn.IFS(
L52&gt;=65,"Retirement Age",
AND(L52&lt;65,L52&gt;=40),"Middle Aged",
AND(L52&lt;40,L52&gt;=30),"In the 30s",
L52&lt;30,"Below 30")</f>
        <v>Below 30</v>
      </c>
      <c r="N52" t="s">
        <v>18</v>
      </c>
    </row>
    <row r="53" spans="1:14" x14ac:dyDescent="0.25">
      <c r="A53">
        <v>20619</v>
      </c>
      <c r="B53" t="s">
        <v>37</v>
      </c>
      <c r="C53" t="s">
        <v>38</v>
      </c>
      <c r="D53" s="1">
        <v>80000</v>
      </c>
      <c r="E53" s="3">
        <v>0</v>
      </c>
      <c r="F53" t="s">
        <v>13</v>
      </c>
      <c r="G53" t="s">
        <v>21</v>
      </c>
      <c r="H53" t="s">
        <v>18</v>
      </c>
      <c r="I53" s="3">
        <v>4</v>
      </c>
      <c r="J53" t="s">
        <v>45</v>
      </c>
      <c r="K53" t="s">
        <v>24</v>
      </c>
      <c r="L53" s="3">
        <v>35</v>
      </c>
      <c r="M53" s="3" t="str" cm="1">
        <f t="array" ref="M53">_xlfn.IFS(
L53&gt;=65,"Retirement Age",
AND(L53&lt;65,L53&gt;=40),"Middle Aged",
AND(L53&lt;40,L53&gt;=30),"In the 30s",
L53&lt;30,"Below 30")</f>
        <v>In the 30s</v>
      </c>
      <c r="N53" t="s">
        <v>18</v>
      </c>
    </row>
    <row r="54" spans="1:14" x14ac:dyDescent="0.25">
      <c r="A54">
        <v>12558</v>
      </c>
      <c r="B54" t="s">
        <v>36</v>
      </c>
      <c r="C54" t="s">
        <v>39</v>
      </c>
      <c r="D54" s="1">
        <v>20000</v>
      </c>
      <c r="E54" s="3">
        <v>1</v>
      </c>
      <c r="F54" t="s">
        <v>13</v>
      </c>
      <c r="G54" t="s">
        <v>20</v>
      </c>
      <c r="H54" t="s">
        <v>15</v>
      </c>
      <c r="I54" s="3">
        <v>0</v>
      </c>
      <c r="J54" t="s">
        <v>16</v>
      </c>
      <c r="K54" t="s">
        <v>17</v>
      </c>
      <c r="L54" s="3">
        <v>65</v>
      </c>
      <c r="M54" s="3" t="str" cm="1">
        <f t="array" ref="M54">_xlfn.IFS(
L54&gt;=65,"Retirement Age",
AND(L54&lt;65,L54&gt;=40),"Middle Aged",
AND(L54&lt;40,L54&gt;=30),"In the 30s",
L54&lt;30,"Below 30")</f>
        <v>Retirement Age</v>
      </c>
      <c r="N54" t="s">
        <v>18</v>
      </c>
    </row>
    <row r="55" spans="1:14" x14ac:dyDescent="0.25">
      <c r="A55">
        <v>24871</v>
      </c>
      <c r="B55" t="s">
        <v>37</v>
      </c>
      <c r="C55" t="s">
        <v>39</v>
      </c>
      <c r="D55" s="1">
        <v>90000</v>
      </c>
      <c r="E55" s="3">
        <v>4</v>
      </c>
      <c r="F55" t="s">
        <v>27</v>
      </c>
      <c r="G55" t="s">
        <v>28</v>
      </c>
      <c r="H55" t="s">
        <v>18</v>
      </c>
      <c r="I55" s="3">
        <v>3</v>
      </c>
      <c r="J55" t="s">
        <v>23</v>
      </c>
      <c r="K55" t="s">
        <v>17</v>
      </c>
      <c r="L55" s="3">
        <v>56</v>
      </c>
      <c r="M55" s="3" t="str" cm="1">
        <f t="array" ref="M55">_xlfn.IFS(
L55&gt;=65,"Retirement Age",
AND(L55&lt;65,L55&gt;=40),"Middle Aged",
AND(L55&lt;40,L55&gt;=30),"In the 30s",
L55&lt;30,"Below 30")</f>
        <v>Middle Aged</v>
      </c>
      <c r="N55" t="s">
        <v>18</v>
      </c>
    </row>
    <row r="56" spans="1:14" x14ac:dyDescent="0.25">
      <c r="A56">
        <v>17319</v>
      </c>
      <c r="B56" t="s">
        <v>37</v>
      </c>
      <c r="C56" t="s">
        <v>39</v>
      </c>
      <c r="D56" s="1">
        <v>70000</v>
      </c>
      <c r="E56" s="3">
        <v>0</v>
      </c>
      <c r="F56" t="s">
        <v>13</v>
      </c>
      <c r="G56" t="s">
        <v>21</v>
      </c>
      <c r="H56" t="s">
        <v>18</v>
      </c>
      <c r="I56" s="3">
        <v>1</v>
      </c>
      <c r="J56" t="s">
        <v>23</v>
      </c>
      <c r="K56" t="s">
        <v>24</v>
      </c>
      <c r="L56" s="3">
        <v>42</v>
      </c>
      <c r="M56" s="3" t="str" cm="1">
        <f t="array" ref="M56">_xlfn.IFS(
L56&gt;=65,"Retirement Age",
AND(L56&lt;65,L56&gt;=40),"Middle Aged",
AND(L56&lt;40,L56&gt;=30),"In the 30s",
L56&lt;30,"Below 30")</f>
        <v>Middle Aged</v>
      </c>
      <c r="N56" t="s">
        <v>18</v>
      </c>
    </row>
    <row r="57" spans="1:14" x14ac:dyDescent="0.25">
      <c r="A57">
        <v>28906</v>
      </c>
      <c r="B57" t="s">
        <v>36</v>
      </c>
      <c r="C57" t="s">
        <v>38</v>
      </c>
      <c r="D57" s="1">
        <v>80000</v>
      </c>
      <c r="E57" s="3">
        <v>4</v>
      </c>
      <c r="F57" t="s">
        <v>27</v>
      </c>
      <c r="G57" t="s">
        <v>21</v>
      </c>
      <c r="H57" t="s">
        <v>15</v>
      </c>
      <c r="I57" s="3">
        <v>2</v>
      </c>
      <c r="J57" t="s">
        <v>45</v>
      </c>
      <c r="K57" t="s">
        <v>17</v>
      </c>
      <c r="L57" s="3">
        <v>54</v>
      </c>
      <c r="M57" s="3" t="str" cm="1">
        <f t="array" ref="M57">_xlfn.IFS(
L57&gt;=65,"Retirement Age",
AND(L57&lt;65,L57&gt;=40),"Middle Aged",
AND(L57&lt;40,L57&gt;=30),"In the 30s",
L57&lt;30,"Below 30")</f>
        <v>Middle Aged</v>
      </c>
      <c r="N57" t="s">
        <v>18</v>
      </c>
    </row>
    <row r="58" spans="1:14" x14ac:dyDescent="0.25">
      <c r="A58">
        <v>12808</v>
      </c>
      <c r="B58" t="s">
        <v>36</v>
      </c>
      <c r="C58" t="s">
        <v>38</v>
      </c>
      <c r="D58" s="1">
        <v>40000</v>
      </c>
      <c r="E58" s="3">
        <v>0</v>
      </c>
      <c r="F58" t="s">
        <v>13</v>
      </c>
      <c r="G58" t="s">
        <v>20</v>
      </c>
      <c r="H58" t="s">
        <v>15</v>
      </c>
      <c r="I58" s="3">
        <v>0</v>
      </c>
      <c r="J58" t="s">
        <v>16</v>
      </c>
      <c r="K58" t="s">
        <v>17</v>
      </c>
      <c r="L58" s="3">
        <v>38</v>
      </c>
      <c r="M58" s="3" t="str" cm="1">
        <f t="array" ref="M58">_xlfn.IFS(
L58&gt;=65,"Retirement Age",
AND(L58&lt;65,L58&gt;=40),"Middle Aged",
AND(L58&lt;40,L58&gt;=30),"In the 30s",
L58&lt;30,"Below 30")</f>
        <v>In the 30s</v>
      </c>
      <c r="N58" t="s">
        <v>15</v>
      </c>
    </row>
    <row r="59" spans="1:14" x14ac:dyDescent="0.25">
      <c r="A59">
        <v>20567</v>
      </c>
      <c r="B59" t="s">
        <v>36</v>
      </c>
      <c r="C59" t="s">
        <v>38</v>
      </c>
      <c r="D59" s="1">
        <v>130000</v>
      </c>
      <c r="E59" s="3">
        <v>4</v>
      </c>
      <c r="F59" t="s">
        <v>19</v>
      </c>
      <c r="G59" t="s">
        <v>21</v>
      </c>
      <c r="H59" t="s">
        <v>18</v>
      </c>
      <c r="I59" s="3">
        <v>4</v>
      </c>
      <c r="J59" t="s">
        <v>23</v>
      </c>
      <c r="K59" t="s">
        <v>17</v>
      </c>
      <c r="L59" s="3">
        <v>61</v>
      </c>
      <c r="M59" s="3" t="str" cm="1">
        <f t="array" ref="M59">_xlfn.IFS(
L59&gt;=65,"Retirement Age",
AND(L59&lt;65,L59&gt;=40),"Middle Aged",
AND(L59&lt;40,L59&gt;=30),"In the 30s",
L59&lt;30,"Below 30")</f>
        <v>Middle Aged</v>
      </c>
      <c r="N59" t="s">
        <v>15</v>
      </c>
    </row>
    <row r="60" spans="1:14" x14ac:dyDescent="0.25">
      <c r="A60">
        <v>25502</v>
      </c>
      <c r="B60" t="s">
        <v>36</v>
      </c>
      <c r="C60" t="s">
        <v>39</v>
      </c>
      <c r="D60" s="1">
        <v>40000</v>
      </c>
      <c r="E60" s="3">
        <v>1</v>
      </c>
      <c r="F60" t="s">
        <v>13</v>
      </c>
      <c r="G60" t="s">
        <v>14</v>
      </c>
      <c r="H60" t="s">
        <v>15</v>
      </c>
      <c r="I60" s="3">
        <v>0</v>
      </c>
      <c r="J60" t="s">
        <v>16</v>
      </c>
      <c r="K60" t="s">
        <v>17</v>
      </c>
      <c r="L60" s="3">
        <v>43</v>
      </c>
      <c r="M60" s="3" t="str" cm="1">
        <f t="array" ref="M60">_xlfn.IFS(
L60&gt;=65,"Retirement Age",
AND(L60&lt;65,L60&gt;=40),"Middle Aged",
AND(L60&lt;40,L60&gt;=30),"In the 30s",
L60&lt;30,"Below 30")</f>
        <v>Middle Aged</v>
      </c>
      <c r="N60" t="s">
        <v>15</v>
      </c>
    </row>
    <row r="61" spans="1:14" x14ac:dyDescent="0.25">
      <c r="A61">
        <v>15580</v>
      </c>
      <c r="B61" t="s">
        <v>36</v>
      </c>
      <c r="C61" t="s">
        <v>38</v>
      </c>
      <c r="D61" s="1">
        <v>60000</v>
      </c>
      <c r="E61" s="3">
        <v>2</v>
      </c>
      <c r="F61" t="s">
        <v>13</v>
      </c>
      <c r="G61" t="s">
        <v>21</v>
      </c>
      <c r="H61" t="s">
        <v>15</v>
      </c>
      <c r="I61" s="3">
        <v>1</v>
      </c>
      <c r="J61" t="s">
        <v>22</v>
      </c>
      <c r="K61" t="s">
        <v>24</v>
      </c>
      <c r="L61" s="3">
        <v>38</v>
      </c>
      <c r="M61" s="3" t="str" cm="1">
        <f t="array" ref="M61">_xlfn.IFS(
L61&gt;=65,"Retirement Age",
AND(L61&lt;65,L61&gt;=40),"Middle Aged",
AND(L61&lt;40,L61&gt;=30),"In the 30s",
L61&lt;30,"Below 30")</f>
        <v>In the 30s</v>
      </c>
      <c r="N61" t="s">
        <v>15</v>
      </c>
    </row>
    <row r="62" spans="1:14" x14ac:dyDescent="0.25">
      <c r="A62">
        <v>24185</v>
      </c>
      <c r="B62" t="s">
        <v>37</v>
      </c>
      <c r="C62" t="s">
        <v>39</v>
      </c>
      <c r="D62" s="1">
        <v>10000</v>
      </c>
      <c r="E62" s="3">
        <v>1</v>
      </c>
      <c r="F62" t="s">
        <v>27</v>
      </c>
      <c r="G62" t="s">
        <v>25</v>
      </c>
      <c r="H62" t="s">
        <v>18</v>
      </c>
      <c r="I62" s="3">
        <v>1</v>
      </c>
      <c r="J62" t="s">
        <v>26</v>
      </c>
      <c r="K62" t="s">
        <v>17</v>
      </c>
      <c r="L62" s="3">
        <v>45</v>
      </c>
      <c r="M62" s="3" t="str" cm="1">
        <f t="array" ref="M62">_xlfn.IFS(
L62&gt;=65,"Retirement Age",
AND(L62&lt;65,L62&gt;=40),"Middle Aged",
AND(L62&lt;40,L62&gt;=30),"In the 30s",
L62&lt;30,"Below 30")</f>
        <v>Middle Aged</v>
      </c>
      <c r="N62" t="s">
        <v>18</v>
      </c>
    </row>
    <row r="63" spans="1:14" x14ac:dyDescent="0.25">
      <c r="A63">
        <v>19291</v>
      </c>
      <c r="B63" t="s">
        <v>37</v>
      </c>
      <c r="C63" t="s">
        <v>39</v>
      </c>
      <c r="D63" s="1">
        <v>10000</v>
      </c>
      <c r="E63" s="3">
        <v>2</v>
      </c>
      <c r="F63" t="s">
        <v>27</v>
      </c>
      <c r="G63" t="s">
        <v>25</v>
      </c>
      <c r="H63" t="s">
        <v>15</v>
      </c>
      <c r="I63" s="3">
        <v>0</v>
      </c>
      <c r="J63" t="s">
        <v>16</v>
      </c>
      <c r="K63" t="s">
        <v>17</v>
      </c>
      <c r="L63" s="3">
        <v>35</v>
      </c>
      <c r="M63" s="3" t="str" cm="1">
        <f t="array" ref="M63">_xlfn.IFS(
L63&gt;=65,"Retirement Age",
AND(L63&lt;65,L63&gt;=40),"Middle Aged",
AND(L63&lt;40,L63&gt;=30),"In the 30s",
L63&lt;30,"Below 30")</f>
        <v>In the 30s</v>
      </c>
      <c r="N63" t="s">
        <v>18</v>
      </c>
    </row>
    <row r="64" spans="1:14" x14ac:dyDescent="0.25">
      <c r="A64">
        <v>16713</v>
      </c>
      <c r="B64" t="s">
        <v>36</v>
      </c>
      <c r="C64" t="s">
        <v>38</v>
      </c>
      <c r="D64" s="1">
        <v>40000</v>
      </c>
      <c r="E64" s="3">
        <v>2</v>
      </c>
      <c r="F64" t="s">
        <v>13</v>
      </c>
      <c r="G64" t="s">
        <v>28</v>
      </c>
      <c r="H64" t="s">
        <v>15</v>
      </c>
      <c r="I64" s="3">
        <v>1</v>
      </c>
      <c r="J64" t="s">
        <v>16</v>
      </c>
      <c r="K64" t="s">
        <v>24</v>
      </c>
      <c r="L64" s="3">
        <v>52</v>
      </c>
      <c r="M64" s="3" t="str" cm="1">
        <f t="array" ref="M64">_xlfn.IFS(
L64&gt;=65,"Retirement Age",
AND(L64&lt;65,L64&gt;=40),"Middle Aged",
AND(L64&lt;40,L64&gt;=30),"In the 30s",
L64&lt;30,"Below 30")</f>
        <v>Middle Aged</v>
      </c>
      <c r="N64" t="s">
        <v>15</v>
      </c>
    </row>
    <row r="65" spans="1:14" x14ac:dyDescent="0.25">
      <c r="A65">
        <v>16185</v>
      </c>
      <c r="B65" t="s">
        <v>37</v>
      </c>
      <c r="C65" t="s">
        <v>38</v>
      </c>
      <c r="D65" s="1">
        <v>60000</v>
      </c>
      <c r="E65" s="3">
        <v>4</v>
      </c>
      <c r="F65" t="s">
        <v>13</v>
      </c>
      <c r="G65" t="s">
        <v>21</v>
      </c>
      <c r="H65" t="s">
        <v>15</v>
      </c>
      <c r="I65" s="3">
        <v>3</v>
      </c>
      <c r="J65" t="s">
        <v>45</v>
      </c>
      <c r="K65" t="s">
        <v>24</v>
      </c>
      <c r="L65" s="3">
        <v>41</v>
      </c>
      <c r="M65" s="3" t="str" cm="1">
        <f t="array" ref="M65">_xlfn.IFS(
L65&gt;=65,"Retirement Age",
AND(L65&lt;65,L65&gt;=40),"Middle Aged",
AND(L65&lt;40,L65&gt;=30),"In the 30s",
L65&lt;30,"Below 30")</f>
        <v>Middle Aged</v>
      </c>
      <c r="N65" t="s">
        <v>18</v>
      </c>
    </row>
    <row r="66" spans="1:14" x14ac:dyDescent="0.25">
      <c r="A66">
        <v>14927</v>
      </c>
      <c r="B66" t="s">
        <v>36</v>
      </c>
      <c r="C66" t="s">
        <v>39</v>
      </c>
      <c r="D66" s="1">
        <v>30000</v>
      </c>
      <c r="E66" s="3">
        <v>1</v>
      </c>
      <c r="F66" t="s">
        <v>13</v>
      </c>
      <c r="G66" t="s">
        <v>20</v>
      </c>
      <c r="H66" t="s">
        <v>15</v>
      </c>
      <c r="I66" s="3">
        <v>0</v>
      </c>
      <c r="J66" t="s">
        <v>16</v>
      </c>
      <c r="K66" t="s">
        <v>17</v>
      </c>
      <c r="L66" s="3">
        <v>37</v>
      </c>
      <c r="M66" s="3" t="str" cm="1">
        <f t="array" ref="M66">_xlfn.IFS(
L66&gt;=65,"Retirement Age",
AND(L66&lt;65,L66&gt;=40),"Middle Aged",
AND(L66&lt;40,L66&gt;=30),"In the 30s",
L66&lt;30,"Below 30")</f>
        <v>In the 30s</v>
      </c>
      <c r="N66" t="s">
        <v>15</v>
      </c>
    </row>
    <row r="67" spans="1:14" x14ac:dyDescent="0.25">
      <c r="A67">
        <v>29337</v>
      </c>
      <c r="B67" t="s">
        <v>37</v>
      </c>
      <c r="C67" t="s">
        <v>38</v>
      </c>
      <c r="D67" s="1">
        <v>30000</v>
      </c>
      <c r="E67" s="3">
        <v>2</v>
      </c>
      <c r="F67" t="s">
        <v>19</v>
      </c>
      <c r="G67" t="s">
        <v>20</v>
      </c>
      <c r="H67" t="s">
        <v>15</v>
      </c>
      <c r="I67" s="3">
        <v>2</v>
      </c>
      <c r="J67" t="s">
        <v>23</v>
      </c>
      <c r="K67" t="s">
        <v>24</v>
      </c>
      <c r="L67" s="3">
        <v>68</v>
      </c>
      <c r="M67" s="3" t="str" cm="1">
        <f t="array" ref="M67">_xlfn.IFS(
L67&gt;=65,"Retirement Age",
AND(L67&lt;65,L67&gt;=40),"Middle Aged",
AND(L67&lt;40,L67&gt;=30),"In the 30s",
L67&lt;30,"Below 30")</f>
        <v>Retirement Age</v>
      </c>
      <c r="N67" t="s">
        <v>18</v>
      </c>
    </row>
    <row r="68" spans="1:14" x14ac:dyDescent="0.25">
      <c r="A68">
        <v>29355</v>
      </c>
      <c r="B68" t="s">
        <v>36</v>
      </c>
      <c r="C68" t="s">
        <v>39</v>
      </c>
      <c r="D68" s="1">
        <v>40000</v>
      </c>
      <c r="E68" s="3">
        <v>0</v>
      </c>
      <c r="F68" t="s">
        <v>31</v>
      </c>
      <c r="G68" t="s">
        <v>20</v>
      </c>
      <c r="H68" t="s">
        <v>15</v>
      </c>
      <c r="I68" s="3">
        <v>0</v>
      </c>
      <c r="J68" t="s">
        <v>16</v>
      </c>
      <c r="K68" t="s">
        <v>17</v>
      </c>
      <c r="L68" s="3">
        <v>37</v>
      </c>
      <c r="M68" s="3" t="str" cm="1">
        <f t="array" ref="M68">_xlfn.IFS(
L68&gt;=65,"Retirement Age",
AND(L68&lt;65,L68&gt;=40),"Middle Aged",
AND(L68&lt;40,L68&gt;=30),"In the 30s",
L68&lt;30,"Below 30")</f>
        <v>In the 30s</v>
      </c>
      <c r="N68" t="s">
        <v>15</v>
      </c>
    </row>
    <row r="69" spans="1:14" x14ac:dyDescent="0.25">
      <c r="A69">
        <v>25303</v>
      </c>
      <c r="B69" t="s">
        <v>37</v>
      </c>
      <c r="C69" t="s">
        <v>38</v>
      </c>
      <c r="D69" s="1">
        <v>30000</v>
      </c>
      <c r="E69" s="3">
        <v>0</v>
      </c>
      <c r="F69" t="s">
        <v>27</v>
      </c>
      <c r="G69" t="s">
        <v>25</v>
      </c>
      <c r="H69" t="s">
        <v>15</v>
      </c>
      <c r="I69" s="3">
        <v>1</v>
      </c>
      <c r="J69" t="s">
        <v>22</v>
      </c>
      <c r="K69" t="s">
        <v>17</v>
      </c>
      <c r="L69" s="3">
        <v>33</v>
      </c>
      <c r="M69" s="3" t="str" cm="1">
        <f t="array" ref="M69">_xlfn.IFS(
L69&gt;=65,"Retirement Age",
AND(L69&lt;65,L69&gt;=40),"Middle Aged",
AND(L69&lt;40,L69&gt;=30),"In the 30s",
L69&lt;30,"Below 30")</f>
        <v>In the 30s</v>
      </c>
      <c r="N69" t="s">
        <v>15</v>
      </c>
    </row>
    <row r="70" spans="1:14" x14ac:dyDescent="0.25">
      <c r="A70">
        <v>14813</v>
      </c>
      <c r="B70" t="s">
        <v>37</v>
      </c>
      <c r="C70" t="s">
        <v>39</v>
      </c>
      <c r="D70" s="1">
        <v>20000</v>
      </c>
      <c r="E70" s="3">
        <v>4</v>
      </c>
      <c r="F70" t="s">
        <v>27</v>
      </c>
      <c r="G70" t="s">
        <v>25</v>
      </c>
      <c r="H70" t="s">
        <v>15</v>
      </c>
      <c r="I70" s="3">
        <v>1</v>
      </c>
      <c r="J70" t="s">
        <v>16</v>
      </c>
      <c r="K70" t="s">
        <v>17</v>
      </c>
      <c r="L70" s="3">
        <v>43</v>
      </c>
      <c r="M70" s="3" t="str" cm="1">
        <f t="array" ref="M70">_xlfn.IFS(
L70&gt;=65,"Retirement Age",
AND(L70&lt;65,L70&gt;=40),"Middle Aged",
AND(L70&lt;40,L70&gt;=30),"In the 30s",
L70&lt;30,"Below 30")</f>
        <v>Middle Aged</v>
      </c>
      <c r="N70" t="s">
        <v>15</v>
      </c>
    </row>
    <row r="71" spans="1:14" x14ac:dyDescent="0.25">
      <c r="A71">
        <v>16438</v>
      </c>
      <c r="B71" t="s">
        <v>36</v>
      </c>
      <c r="C71" t="s">
        <v>39</v>
      </c>
      <c r="D71" s="1">
        <v>10000</v>
      </c>
      <c r="E71" s="3">
        <v>0</v>
      </c>
      <c r="F71" t="s">
        <v>29</v>
      </c>
      <c r="G71" t="s">
        <v>25</v>
      </c>
      <c r="H71" t="s">
        <v>18</v>
      </c>
      <c r="I71" s="3">
        <v>2</v>
      </c>
      <c r="J71" t="s">
        <v>16</v>
      </c>
      <c r="K71" t="s">
        <v>17</v>
      </c>
      <c r="L71" s="3">
        <v>30</v>
      </c>
      <c r="M71" s="3" t="str" cm="1">
        <f t="array" ref="M71">_xlfn.IFS(
L71&gt;=65,"Retirement Age",
AND(L71&lt;65,L71&gt;=40),"Middle Aged",
AND(L71&lt;40,L71&gt;=30),"In the 30s",
L71&lt;30,"Below 30")</f>
        <v>In the 30s</v>
      </c>
      <c r="N71" t="s">
        <v>18</v>
      </c>
    </row>
    <row r="72" spans="1:14" x14ac:dyDescent="0.25">
      <c r="A72">
        <v>14238</v>
      </c>
      <c r="B72" t="s">
        <v>36</v>
      </c>
      <c r="C72" t="s">
        <v>38</v>
      </c>
      <c r="D72" s="1">
        <v>120000</v>
      </c>
      <c r="E72" s="3">
        <v>0</v>
      </c>
      <c r="F72" t="s">
        <v>29</v>
      </c>
      <c r="G72" t="s">
        <v>21</v>
      </c>
      <c r="H72" t="s">
        <v>15</v>
      </c>
      <c r="I72" s="3">
        <v>4</v>
      </c>
      <c r="J72" t="s">
        <v>45</v>
      </c>
      <c r="K72" t="s">
        <v>24</v>
      </c>
      <c r="L72" s="3">
        <v>36</v>
      </c>
      <c r="M72" s="3" t="str" cm="1">
        <f t="array" ref="M72">_xlfn.IFS(
L72&gt;=65,"Retirement Age",
AND(L72&lt;65,L72&gt;=40),"Middle Aged",
AND(L72&lt;40,L72&gt;=30),"In the 30s",
L72&lt;30,"Below 30")</f>
        <v>In the 30s</v>
      </c>
      <c r="N72" t="s">
        <v>15</v>
      </c>
    </row>
    <row r="73" spans="1:14" x14ac:dyDescent="0.25">
      <c r="A73">
        <v>16200</v>
      </c>
      <c r="B73" t="s">
        <v>37</v>
      </c>
      <c r="C73" t="s">
        <v>39</v>
      </c>
      <c r="D73" s="1">
        <v>10000</v>
      </c>
      <c r="E73" s="3">
        <v>0</v>
      </c>
      <c r="F73" t="s">
        <v>29</v>
      </c>
      <c r="G73" t="s">
        <v>25</v>
      </c>
      <c r="H73" t="s">
        <v>18</v>
      </c>
      <c r="I73" s="3">
        <v>2</v>
      </c>
      <c r="J73" t="s">
        <v>16</v>
      </c>
      <c r="K73" t="s">
        <v>17</v>
      </c>
      <c r="L73" s="3">
        <v>35</v>
      </c>
      <c r="M73" s="3" t="str" cm="1">
        <f t="array" ref="M73">_xlfn.IFS(
L73&gt;=65,"Retirement Age",
AND(L73&lt;65,L73&gt;=40),"Middle Aged",
AND(L73&lt;40,L73&gt;=30),"In the 30s",
L73&lt;30,"Below 30")</f>
        <v>In the 30s</v>
      </c>
      <c r="N73" t="s">
        <v>18</v>
      </c>
    </row>
    <row r="74" spans="1:14" x14ac:dyDescent="0.25">
      <c r="A74">
        <v>24857</v>
      </c>
      <c r="B74" t="s">
        <v>36</v>
      </c>
      <c r="C74" t="s">
        <v>39</v>
      </c>
      <c r="D74" s="1">
        <v>130000</v>
      </c>
      <c r="E74" s="3">
        <v>3</v>
      </c>
      <c r="F74" t="s">
        <v>27</v>
      </c>
      <c r="G74" t="s">
        <v>21</v>
      </c>
      <c r="H74" t="s">
        <v>15</v>
      </c>
      <c r="I74" s="3">
        <v>4</v>
      </c>
      <c r="J74" t="s">
        <v>16</v>
      </c>
      <c r="K74" t="s">
        <v>17</v>
      </c>
      <c r="L74" s="3">
        <v>52</v>
      </c>
      <c r="M74" s="3" t="str" cm="1">
        <f t="array" ref="M74">_xlfn.IFS(
L74&gt;=65,"Retirement Age",
AND(L74&lt;65,L74&gt;=40),"Middle Aged",
AND(L74&lt;40,L74&gt;=30),"In the 30s",
L74&lt;30,"Below 30")</f>
        <v>Middle Aged</v>
      </c>
      <c r="N74" t="s">
        <v>18</v>
      </c>
    </row>
    <row r="75" spans="1:14" x14ac:dyDescent="0.25">
      <c r="A75">
        <v>26956</v>
      </c>
      <c r="B75" t="s">
        <v>37</v>
      </c>
      <c r="C75" t="s">
        <v>39</v>
      </c>
      <c r="D75" s="1">
        <v>20000</v>
      </c>
      <c r="E75" s="3">
        <v>0</v>
      </c>
      <c r="F75" t="s">
        <v>19</v>
      </c>
      <c r="G75" t="s">
        <v>25</v>
      </c>
      <c r="H75" t="s">
        <v>18</v>
      </c>
      <c r="I75" s="3">
        <v>1</v>
      </c>
      <c r="J75" t="s">
        <v>22</v>
      </c>
      <c r="K75" t="s">
        <v>17</v>
      </c>
      <c r="L75" s="3">
        <v>36</v>
      </c>
      <c r="M75" s="3" t="str" cm="1">
        <f t="array" ref="M75">_xlfn.IFS(
L75&gt;=65,"Retirement Age",
AND(L75&lt;65,L75&gt;=40),"Middle Aged",
AND(L75&lt;40,L75&gt;=30),"In the 30s",
L75&lt;30,"Below 30")</f>
        <v>In the 30s</v>
      </c>
      <c r="N75" t="s">
        <v>15</v>
      </c>
    </row>
    <row r="76" spans="1:14" x14ac:dyDescent="0.25">
      <c r="A76">
        <v>14517</v>
      </c>
      <c r="B76" t="s">
        <v>36</v>
      </c>
      <c r="C76" t="s">
        <v>39</v>
      </c>
      <c r="D76" s="1">
        <v>20000</v>
      </c>
      <c r="E76" s="3">
        <v>3</v>
      </c>
      <c r="F76" t="s">
        <v>27</v>
      </c>
      <c r="G76" t="s">
        <v>14</v>
      </c>
      <c r="H76" t="s">
        <v>18</v>
      </c>
      <c r="I76" s="3">
        <v>2</v>
      </c>
      <c r="J76" t="s">
        <v>26</v>
      </c>
      <c r="K76" t="s">
        <v>24</v>
      </c>
      <c r="L76" s="3">
        <v>62</v>
      </c>
      <c r="M76" s="3" t="str" cm="1">
        <f t="array" ref="M76">_xlfn.IFS(
L76&gt;=65,"Retirement Age",
AND(L76&lt;65,L76&gt;=40),"Middle Aged",
AND(L76&lt;40,L76&gt;=30),"In the 30s",
L76&lt;30,"Below 30")</f>
        <v>Middle Aged</v>
      </c>
      <c r="N76" t="s">
        <v>18</v>
      </c>
    </row>
    <row r="77" spans="1:14" x14ac:dyDescent="0.25">
      <c r="A77">
        <v>12678</v>
      </c>
      <c r="B77" t="s">
        <v>37</v>
      </c>
      <c r="C77" t="s">
        <v>39</v>
      </c>
      <c r="D77" s="1">
        <v>130000</v>
      </c>
      <c r="E77" s="3">
        <v>4</v>
      </c>
      <c r="F77" t="s">
        <v>27</v>
      </c>
      <c r="G77" t="s">
        <v>28</v>
      </c>
      <c r="H77" t="s">
        <v>15</v>
      </c>
      <c r="I77" s="3">
        <v>4</v>
      </c>
      <c r="J77" t="s">
        <v>16</v>
      </c>
      <c r="K77" t="s">
        <v>24</v>
      </c>
      <c r="L77" s="3">
        <v>31</v>
      </c>
      <c r="M77" s="3" t="str" cm="1">
        <f t="array" ref="M77">_xlfn.IFS(
L77&gt;=65,"Retirement Age",
AND(L77&lt;65,L77&gt;=40),"Middle Aged",
AND(L77&lt;40,L77&gt;=30),"In the 30s",
L77&lt;30,"Below 30")</f>
        <v>In the 30s</v>
      </c>
      <c r="N77" t="s">
        <v>18</v>
      </c>
    </row>
    <row r="78" spans="1:14" x14ac:dyDescent="0.25">
      <c r="A78">
        <v>16188</v>
      </c>
      <c r="B78" t="s">
        <v>37</v>
      </c>
      <c r="C78" t="s">
        <v>39</v>
      </c>
      <c r="D78" s="1">
        <v>20000</v>
      </c>
      <c r="E78" s="3">
        <v>0</v>
      </c>
      <c r="F78" t="s">
        <v>29</v>
      </c>
      <c r="G78" t="s">
        <v>25</v>
      </c>
      <c r="H78" t="s">
        <v>18</v>
      </c>
      <c r="I78" s="3">
        <v>2</v>
      </c>
      <c r="J78" t="s">
        <v>26</v>
      </c>
      <c r="K78" t="s">
        <v>17</v>
      </c>
      <c r="L78" s="3">
        <v>26</v>
      </c>
      <c r="M78" s="3" t="str" cm="1">
        <f t="array" ref="M78">_xlfn.IFS(
L78&gt;=65,"Retirement Age",
AND(L78&lt;65,L78&gt;=40),"Middle Aged",
AND(L78&lt;40,L78&gt;=30),"In the 30s",
L78&lt;30,"Below 30")</f>
        <v>Below 30</v>
      </c>
      <c r="N78" t="s">
        <v>18</v>
      </c>
    </row>
    <row r="79" spans="1:14" x14ac:dyDescent="0.25">
      <c r="A79">
        <v>27969</v>
      </c>
      <c r="B79" t="s">
        <v>36</v>
      </c>
      <c r="C79" t="s">
        <v>38</v>
      </c>
      <c r="D79" s="1">
        <v>80000</v>
      </c>
      <c r="E79" s="3">
        <v>0</v>
      </c>
      <c r="F79" t="s">
        <v>13</v>
      </c>
      <c r="G79" t="s">
        <v>21</v>
      </c>
      <c r="H79" t="s">
        <v>15</v>
      </c>
      <c r="I79" s="3">
        <v>2</v>
      </c>
      <c r="J79" t="s">
        <v>45</v>
      </c>
      <c r="K79" t="s">
        <v>24</v>
      </c>
      <c r="L79" s="3">
        <v>29</v>
      </c>
      <c r="M79" s="3" t="str" cm="1">
        <f t="array" ref="M79">_xlfn.IFS(
L79&gt;=65,"Retirement Age",
AND(L79&lt;65,L79&gt;=40),"Middle Aged",
AND(L79&lt;40,L79&gt;=30),"In the 30s",
L79&lt;30,"Below 30")</f>
        <v>Below 30</v>
      </c>
      <c r="N79" t="s">
        <v>15</v>
      </c>
    </row>
    <row r="80" spans="1:14" x14ac:dyDescent="0.25">
      <c r="A80">
        <v>15752</v>
      </c>
      <c r="B80" t="s">
        <v>36</v>
      </c>
      <c r="C80" t="s">
        <v>38</v>
      </c>
      <c r="D80" s="1">
        <v>80000</v>
      </c>
      <c r="E80" s="3">
        <v>2</v>
      </c>
      <c r="F80" t="s">
        <v>27</v>
      </c>
      <c r="G80" t="s">
        <v>14</v>
      </c>
      <c r="H80" t="s">
        <v>18</v>
      </c>
      <c r="I80" s="3">
        <v>2</v>
      </c>
      <c r="J80" t="s">
        <v>26</v>
      </c>
      <c r="K80" t="s">
        <v>24</v>
      </c>
      <c r="L80" s="3">
        <v>50</v>
      </c>
      <c r="M80" s="3" t="str" cm="1">
        <f t="array" ref="M80">_xlfn.IFS(
L80&gt;=65,"Retirement Age",
AND(L80&lt;65,L80&gt;=40),"Middle Aged",
AND(L80&lt;40,L80&gt;=30),"In the 30s",
L80&lt;30,"Below 30")</f>
        <v>Middle Aged</v>
      </c>
      <c r="N80" t="s">
        <v>15</v>
      </c>
    </row>
    <row r="81" spans="1:14" x14ac:dyDescent="0.25">
      <c r="A81">
        <v>27745</v>
      </c>
      <c r="B81" t="s">
        <v>37</v>
      </c>
      <c r="C81" t="s">
        <v>38</v>
      </c>
      <c r="D81" s="1">
        <v>40000</v>
      </c>
      <c r="E81" s="3">
        <v>2</v>
      </c>
      <c r="F81" t="s">
        <v>13</v>
      </c>
      <c r="G81" t="s">
        <v>28</v>
      </c>
      <c r="H81" t="s">
        <v>15</v>
      </c>
      <c r="I81" s="3">
        <v>2</v>
      </c>
      <c r="J81" t="s">
        <v>23</v>
      </c>
      <c r="K81" t="s">
        <v>24</v>
      </c>
      <c r="L81" s="3">
        <v>63</v>
      </c>
      <c r="M81" s="3" t="str" cm="1">
        <f t="array" ref="M81">_xlfn.IFS(
L81&gt;=65,"Retirement Age",
AND(L81&lt;65,L81&gt;=40),"Middle Aged",
AND(L81&lt;40,L81&gt;=30),"In the 30s",
L81&lt;30,"Below 30")</f>
        <v>Middle Aged</v>
      </c>
      <c r="N81" t="s">
        <v>15</v>
      </c>
    </row>
    <row r="82" spans="1:14" x14ac:dyDescent="0.25">
      <c r="A82">
        <v>20828</v>
      </c>
      <c r="B82" t="s">
        <v>36</v>
      </c>
      <c r="C82" t="s">
        <v>39</v>
      </c>
      <c r="D82" s="1">
        <v>30000</v>
      </c>
      <c r="E82" s="3">
        <v>4</v>
      </c>
      <c r="F82" t="s">
        <v>31</v>
      </c>
      <c r="G82" t="s">
        <v>20</v>
      </c>
      <c r="H82" t="s">
        <v>15</v>
      </c>
      <c r="I82" s="3">
        <v>0</v>
      </c>
      <c r="J82" t="s">
        <v>16</v>
      </c>
      <c r="K82" t="s">
        <v>17</v>
      </c>
      <c r="L82" s="3">
        <v>45</v>
      </c>
      <c r="M82" s="3" t="str" cm="1">
        <f t="array" ref="M82">_xlfn.IFS(
L82&gt;=65,"Retirement Age",
AND(L82&lt;65,L82&gt;=40),"Middle Aged",
AND(L82&lt;40,L82&gt;=30),"In the 30s",
L82&lt;30,"Below 30")</f>
        <v>Middle Aged</v>
      </c>
      <c r="N82" t="s">
        <v>15</v>
      </c>
    </row>
    <row r="83" spans="1:14" x14ac:dyDescent="0.25">
      <c r="A83">
        <v>19461</v>
      </c>
      <c r="B83" t="s">
        <v>37</v>
      </c>
      <c r="C83" t="s">
        <v>39</v>
      </c>
      <c r="D83" s="1">
        <v>10000</v>
      </c>
      <c r="E83" s="3">
        <v>4</v>
      </c>
      <c r="F83" t="s">
        <v>29</v>
      </c>
      <c r="G83" t="s">
        <v>25</v>
      </c>
      <c r="H83" t="s">
        <v>15</v>
      </c>
      <c r="I83" s="3">
        <v>2</v>
      </c>
      <c r="J83" t="s">
        <v>16</v>
      </c>
      <c r="K83" t="s">
        <v>17</v>
      </c>
      <c r="L83" s="3">
        <v>40</v>
      </c>
      <c r="M83" s="3" t="str" cm="1">
        <f t="array" ref="M83">_xlfn.IFS(
L83&gt;=65,"Retirement Age",
AND(L83&lt;65,L83&gt;=40),"Middle Aged",
AND(L83&lt;40,L83&gt;=30),"In the 30s",
L83&lt;30,"Below 30")</f>
        <v>Middle Aged</v>
      </c>
      <c r="N83" t="s">
        <v>18</v>
      </c>
    </row>
    <row r="84" spans="1:14" x14ac:dyDescent="0.25">
      <c r="A84">
        <v>26941</v>
      </c>
      <c r="B84" t="s">
        <v>36</v>
      </c>
      <c r="C84" t="s">
        <v>38</v>
      </c>
      <c r="D84" s="1">
        <v>30000</v>
      </c>
      <c r="E84" s="3">
        <v>0</v>
      </c>
      <c r="F84" t="s">
        <v>13</v>
      </c>
      <c r="G84" t="s">
        <v>20</v>
      </c>
      <c r="H84" t="s">
        <v>15</v>
      </c>
      <c r="I84" s="3">
        <v>0</v>
      </c>
      <c r="J84" t="s">
        <v>16</v>
      </c>
      <c r="K84" t="s">
        <v>17</v>
      </c>
      <c r="L84" s="3">
        <v>47</v>
      </c>
      <c r="M84" s="3" t="str" cm="1">
        <f t="array" ref="M84">_xlfn.IFS(
L84&gt;=65,"Retirement Age",
AND(L84&lt;65,L84&gt;=40),"Middle Aged",
AND(L84&lt;40,L84&gt;=30),"In the 30s",
L84&lt;30,"Below 30")</f>
        <v>Middle Aged</v>
      </c>
      <c r="N84" t="s">
        <v>15</v>
      </c>
    </row>
    <row r="85" spans="1:14" x14ac:dyDescent="0.25">
      <c r="A85">
        <v>28412</v>
      </c>
      <c r="B85" t="s">
        <v>37</v>
      </c>
      <c r="C85" t="s">
        <v>38</v>
      </c>
      <c r="D85" s="1">
        <v>20000</v>
      </c>
      <c r="E85" s="3">
        <v>0</v>
      </c>
      <c r="F85" t="s">
        <v>27</v>
      </c>
      <c r="G85" t="s">
        <v>25</v>
      </c>
      <c r="H85" t="s">
        <v>18</v>
      </c>
      <c r="I85" s="3">
        <v>1</v>
      </c>
      <c r="J85" t="s">
        <v>22</v>
      </c>
      <c r="K85" t="s">
        <v>17</v>
      </c>
      <c r="L85" s="3">
        <v>29</v>
      </c>
      <c r="M85" s="3" t="str" cm="1">
        <f t="array" ref="M85">_xlfn.IFS(
L85&gt;=65,"Retirement Age",
AND(L85&lt;65,L85&gt;=40),"Middle Aged",
AND(L85&lt;40,L85&gt;=30),"In the 30s",
L85&lt;30,"Below 30")</f>
        <v>Below 30</v>
      </c>
      <c r="N85" t="s">
        <v>18</v>
      </c>
    </row>
    <row r="86" spans="1:14" x14ac:dyDescent="0.25">
      <c r="A86">
        <v>24485</v>
      </c>
      <c r="B86" t="s">
        <v>37</v>
      </c>
      <c r="C86" t="s">
        <v>38</v>
      </c>
      <c r="D86" s="1">
        <v>40000</v>
      </c>
      <c r="E86" s="3">
        <v>2</v>
      </c>
      <c r="F86" t="s">
        <v>13</v>
      </c>
      <c r="G86" t="s">
        <v>28</v>
      </c>
      <c r="H86" t="s">
        <v>18</v>
      </c>
      <c r="I86" s="3">
        <v>1</v>
      </c>
      <c r="J86" t="s">
        <v>23</v>
      </c>
      <c r="K86" t="s">
        <v>24</v>
      </c>
      <c r="L86" s="3">
        <v>52</v>
      </c>
      <c r="M86" s="3" t="str" cm="1">
        <f t="array" ref="M86">_xlfn.IFS(
L86&gt;=65,"Retirement Age",
AND(L86&lt;65,L86&gt;=40),"Middle Aged",
AND(L86&lt;40,L86&gt;=30),"In the 30s",
L86&lt;30,"Below 30")</f>
        <v>Middle Aged</v>
      </c>
      <c r="N86" t="s">
        <v>15</v>
      </c>
    </row>
    <row r="87" spans="1:14" x14ac:dyDescent="0.25">
      <c r="A87">
        <v>16514</v>
      </c>
      <c r="B87" t="s">
        <v>37</v>
      </c>
      <c r="C87" t="s">
        <v>38</v>
      </c>
      <c r="D87" s="1">
        <v>10000</v>
      </c>
      <c r="E87" s="3">
        <v>0</v>
      </c>
      <c r="F87" t="s">
        <v>19</v>
      </c>
      <c r="G87" t="s">
        <v>25</v>
      </c>
      <c r="H87" t="s">
        <v>15</v>
      </c>
      <c r="I87" s="3">
        <v>1</v>
      </c>
      <c r="J87" t="s">
        <v>26</v>
      </c>
      <c r="K87" t="s">
        <v>24</v>
      </c>
      <c r="L87" s="3">
        <v>26</v>
      </c>
      <c r="M87" s="3" t="str" cm="1">
        <f t="array" ref="M87">_xlfn.IFS(
L87&gt;=65,"Retirement Age",
AND(L87&lt;65,L87&gt;=40),"Middle Aged",
AND(L87&lt;40,L87&gt;=30),"In the 30s",
L87&lt;30,"Below 30")</f>
        <v>Below 30</v>
      </c>
      <c r="N87" t="s">
        <v>15</v>
      </c>
    </row>
    <row r="88" spans="1:14" x14ac:dyDescent="0.25">
      <c r="A88">
        <v>17191</v>
      </c>
      <c r="B88" t="s">
        <v>37</v>
      </c>
      <c r="C88" t="s">
        <v>38</v>
      </c>
      <c r="D88" s="1">
        <v>130000</v>
      </c>
      <c r="E88" s="3">
        <v>3</v>
      </c>
      <c r="F88" t="s">
        <v>19</v>
      </c>
      <c r="G88" t="s">
        <v>21</v>
      </c>
      <c r="H88" t="s">
        <v>18</v>
      </c>
      <c r="I88" s="3">
        <v>3</v>
      </c>
      <c r="J88" t="s">
        <v>16</v>
      </c>
      <c r="K88" t="s">
        <v>17</v>
      </c>
      <c r="L88" s="3">
        <v>51</v>
      </c>
      <c r="M88" s="3" t="str" cm="1">
        <f t="array" ref="M88">_xlfn.IFS(
L88&gt;=65,"Retirement Age",
AND(L88&lt;65,L88&gt;=40),"Middle Aged",
AND(L88&lt;40,L88&gt;=30),"In the 30s",
L88&lt;30,"Below 30")</f>
        <v>Middle Aged</v>
      </c>
      <c r="N88" t="s">
        <v>15</v>
      </c>
    </row>
    <row r="89" spans="1:14" x14ac:dyDescent="0.25">
      <c r="A89">
        <v>19608</v>
      </c>
      <c r="B89" t="s">
        <v>36</v>
      </c>
      <c r="C89" t="s">
        <v>38</v>
      </c>
      <c r="D89" s="1">
        <v>80000</v>
      </c>
      <c r="E89" s="3">
        <v>5</v>
      </c>
      <c r="F89" t="s">
        <v>13</v>
      </c>
      <c r="G89" t="s">
        <v>21</v>
      </c>
      <c r="H89" t="s">
        <v>15</v>
      </c>
      <c r="I89" s="3">
        <v>4</v>
      </c>
      <c r="J89" t="s">
        <v>26</v>
      </c>
      <c r="K89" t="s">
        <v>24</v>
      </c>
      <c r="L89" s="3">
        <v>40</v>
      </c>
      <c r="M89" s="3" t="str" cm="1">
        <f t="array" ref="M89">_xlfn.IFS(
L89&gt;=65,"Retirement Age",
AND(L89&lt;65,L89&gt;=40),"Middle Aged",
AND(L89&lt;40,L89&gt;=30),"In the 30s",
L89&lt;30,"Below 30")</f>
        <v>Middle Aged</v>
      </c>
      <c r="N89" t="s">
        <v>18</v>
      </c>
    </row>
    <row r="90" spans="1:14" x14ac:dyDescent="0.25">
      <c r="A90">
        <v>24119</v>
      </c>
      <c r="B90" t="s">
        <v>37</v>
      </c>
      <c r="C90" t="s">
        <v>38</v>
      </c>
      <c r="D90" s="1">
        <v>30000</v>
      </c>
      <c r="E90" s="3">
        <v>0</v>
      </c>
      <c r="F90" t="s">
        <v>19</v>
      </c>
      <c r="G90" t="s">
        <v>20</v>
      </c>
      <c r="H90" t="s">
        <v>18</v>
      </c>
      <c r="I90" s="3">
        <v>1</v>
      </c>
      <c r="J90" t="s">
        <v>22</v>
      </c>
      <c r="K90" t="s">
        <v>17</v>
      </c>
      <c r="L90" s="3">
        <v>29</v>
      </c>
      <c r="M90" s="3" t="str" cm="1">
        <f t="array" ref="M90">_xlfn.IFS(
L90&gt;=65,"Retirement Age",
AND(L90&lt;65,L90&gt;=40),"Middle Aged",
AND(L90&lt;40,L90&gt;=30),"In the 30s",
L90&lt;30,"Below 30")</f>
        <v>Below 30</v>
      </c>
      <c r="N90" t="s">
        <v>18</v>
      </c>
    </row>
    <row r="91" spans="1:14" x14ac:dyDescent="0.25">
      <c r="A91">
        <v>25458</v>
      </c>
      <c r="B91" t="s">
        <v>36</v>
      </c>
      <c r="C91" t="s">
        <v>38</v>
      </c>
      <c r="D91" s="1">
        <v>20000</v>
      </c>
      <c r="E91" s="3">
        <v>1</v>
      </c>
      <c r="F91" t="s">
        <v>27</v>
      </c>
      <c r="G91" t="s">
        <v>25</v>
      </c>
      <c r="H91" t="s">
        <v>18</v>
      </c>
      <c r="I91" s="3">
        <v>1</v>
      </c>
      <c r="J91" t="s">
        <v>26</v>
      </c>
      <c r="K91" t="s">
        <v>17</v>
      </c>
      <c r="L91" s="3">
        <v>40</v>
      </c>
      <c r="M91" s="3" t="str" cm="1">
        <f t="array" ref="M91">_xlfn.IFS(
L91&gt;=65,"Retirement Age",
AND(L91&lt;65,L91&gt;=40),"Middle Aged",
AND(L91&lt;40,L91&gt;=30),"In the 30s",
L91&lt;30,"Below 30")</f>
        <v>Middle Aged</v>
      </c>
      <c r="N91" t="s">
        <v>15</v>
      </c>
    </row>
    <row r="92" spans="1:14" x14ac:dyDescent="0.25">
      <c r="A92">
        <v>26886</v>
      </c>
      <c r="B92" t="s">
        <v>37</v>
      </c>
      <c r="C92" t="s">
        <v>39</v>
      </c>
      <c r="D92" s="1">
        <v>30000</v>
      </c>
      <c r="E92" s="3">
        <v>0</v>
      </c>
      <c r="F92" t="s">
        <v>19</v>
      </c>
      <c r="G92" t="s">
        <v>20</v>
      </c>
      <c r="H92" t="s">
        <v>18</v>
      </c>
      <c r="I92" s="3">
        <v>1</v>
      </c>
      <c r="J92" t="s">
        <v>16</v>
      </c>
      <c r="K92" t="s">
        <v>17</v>
      </c>
      <c r="L92" s="3">
        <v>29</v>
      </c>
      <c r="M92" s="3" t="str" cm="1">
        <f t="array" ref="M92">_xlfn.IFS(
L92&gt;=65,"Retirement Age",
AND(L92&lt;65,L92&gt;=40),"Middle Aged",
AND(L92&lt;40,L92&gt;=30),"In the 30s",
L92&lt;30,"Below 30")</f>
        <v>Below 30</v>
      </c>
      <c r="N92" t="s">
        <v>15</v>
      </c>
    </row>
    <row r="93" spans="1:14" x14ac:dyDescent="0.25">
      <c r="A93">
        <v>28436</v>
      </c>
      <c r="B93" t="s">
        <v>37</v>
      </c>
      <c r="C93" t="s">
        <v>38</v>
      </c>
      <c r="D93" s="1">
        <v>30000</v>
      </c>
      <c r="E93" s="3">
        <v>0</v>
      </c>
      <c r="F93" t="s">
        <v>19</v>
      </c>
      <c r="G93" t="s">
        <v>20</v>
      </c>
      <c r="H93" t="s">
        <v>18</v>
      </c>
      <c r="I93" s="3">
        <v>1</v>
      </c>
      <c r="J93" t="s">
        <v>16</v>
      </c>
      <c r="K93" t="s">
        <v>17</v>
      </c>
      <c r="L93" s="3">
        <v>30</v>
      </c>
      <c r="M93" s="3" t="str" cm="1">
        <f t="array" ref="M93">_xlfn.IFS(
L93&gt;=65,"Retirement Age",
AND(L93&lt;65,L93&gt;=40),"Middle Aged",
AND(L93&lt;40,L93&gt;=30),"In the 30s",
L93&lt;30,"Below 30")</f>
        <v>In the 30s</v>
      </c>
      <c r="N93" t="s">
        <v>15</v>
      </c>
    </row>
    <row r="94" spans="1:14" x14ac:dyDescent="0.25">
      <c r="A94">
        <v>19562</v>
      </c>
      <c r="B94" t="s">
        <v>37</v>
      </c>
      <c r="C94" t="s">
        <v>39</v>
      </c>
      <c r="D94" s="1">
        <v>60000</v>
      </c>
      <c r="E94" s="3">
        <v>2</v>
      </c>
      <c r="F94" t="s">
        <v>13</v>
      </c>
      <c r="G94" t="s">
        <v>21</v>
      </c>
      <c r="H94" t="s">
        <v>15</v>
      </c>
      <c r="I94" s="3">
        <v>1</v>
      </c>
      <c r="J94" t="s">
        <v>22</v>
      </c>
      <c r="K94" t="s">
        <v>24</v>
      </c>
      <c r="L94" s="3">
        <v>37</v>
      </c>
      <c r="M94" s="3" t="str" cm="1">
        <f t="array" ref="M94">_xlfn.IFS(
L94&gt;=65,"Retirement Age",
AND(L94&lt;65,L94&gt;=40),"Middle Aged",
AND(L94&lt;40,L94&gt;=30),"In the 30s",
L94&lt;30,"Below 30")</f>
        <v>In the 30s</v>
      </c>
      <c r="N94" t="s">
        <v>15</v>
      </c>
    </row>
    <row r="95" spans="1:14" x14ac:dyDescent="0.25">
      <c r="A95">
        <v>15608</v>
      </c>
      <c r="B95" t="s">
        <v>37</v>
      </c>
      <c r="C95" t="s">
        <v>39</v>
      </c>
      <c r="D95" s="1">
        <v>30000</v>
      </c>
      <c r="E95" s="3">
        <v>0</v>
      </c>
      <c r="F95" t="s">
        <v>19</v>
      </c>
      <c r="G95" t="s">
        <v>20</v>
      </c>
      <c r="H95" t="s">
        <v>18</v>
      </c>
      <c r="I95" s="3">
        <v>1</v>
      </c>
      <c r="J95" t="s">
        <v>22</v>
      </c>
      <c r="K95" t="s">
        <v>17</v>
      </c>
      <c r="L95" s="3">
        <v>33</v>
      </c>
      <c r="M95" s="3" t="str" cm="1">
        <f t="array" ref="M95">_xlfn.IFS(
L95&gt;=65,"Retirement Age",
AND(L95&lt;65,L95&gt;=40),"Middle Aged",
AND(L95&lt;40,L95&gt;=30),"In the 30s",
L95&lt;30,"Below 30")</f>
        <v>In the 30s</v>
      </c>
      <c r="N95" t="s">
        <v>18</v>
      </c>
    </row>
    <row r="96" spans="1:14" x14ac:dyDescent="0.25">
      <c r="A96">
        <v>16487</v>
      </c>
      <c r="B96" t="s">
        <v>37</v>
      </c>
      <c r="C96" t="s">
        <v>39</v>
      </c>
      <c r="D96" s="1">
        <v>30000</v>
      </c>
      <c r="E96" s="3">
        <v>3</v>
      </c>
      <c r="F96" t="s">
        <v>27</v>
      </c>
      <c r="G96" t="s">
        <v>14</v>
      </c>
      <c r="H96" t="s">
        <v>15</v>
      </c>
      <c r="I96" s="3">
        <v>2</v>
      </c>
      <c r="J96" t="s">
        <v>23</v>
      </c>
      <c r="K96" t="s">
        <v>24</v>
      </c>
      <c r="L96" s="3">
        <v>55</v>
      </c>
      <c r="M96" s="3" t="str" cm="1">
        <f t="array" ref="M96">_xlfn.IFS(
L96&gt;=65,"Retirement Age",
AND(L96&lt;65,L96&gt;=40),"Middle Aged",
AND(L96&lt;40,L96&gt;=30),"In the 30s",
L96&lt;30,"Below 30")</f>
        <v>Middle Aged</v>
      </c>
      <c r="N96" t="s">
        <v>18</v>
      </c>
    </row>
    <row r="97" spans="1:14" x14ac:dyDescent="0.25">
      <c r="A97">
        <v>17197</v>
      </c>
      <c r="B97" t="s">
        <v>37</v>
      </c>
      <c r="C97" t="s">
        <v>39</v>
      </c>
      <c r="D97" s="1">
        <v>90000</v>
      </c>
      <c r="E97" s="3">
        <v>5</v>
      </c>
      <c r="F97" t="s">
        <v>19</v>
      </c>
      <c r="G97" t="s">
        <v>21</v>
      </c>
      <c r="H97" t="s">
        <v>15</v>
      </c>
      <c r="I97" s="3">
        <v>2</v>
      </c>
      <c r="J97" t="s">
        <v>45</v>
      </c>
      <c r="K97" t="s">
        <v>17</v>
      </c>
      <c r="L97" s="3">
        <v>62</v>
      </c>
      <c r="M97" s="3" t="str" cm="1">
        <f t="array" ref="M97">_xlfn.IFS(
L97&gt;=65,"Retirement Age",
AND(L97&lt;65,L97&gt;=40),"Middle Aged",
AND(L97&lt;40,L97&gt;=30),"In the 30s",
L97&lt;30,"Below 30")</f>
        <v>Middle Aged</v>
      </c>
      <c r="N97" t="s">
        <v>18</v>
      </c>
    </row>
    <row r="98" spans="1:14" x14ac:dyDescent="0.25">
      <c r="A98">
        <v>12507</v>
      </c>
      <c r="B98" t="s">
        <v>36</v>
      </c>
      <c r="C98" t="s">
        <v>38</v>
      </c>
      <c r="D98" s="1">
        <v>30000</v>
      </c>
      <c r="E98" s="3">
        <v>1</v>
      </c>
      <c r="F98" t="s">
        <v>19</v>
      </c>
      <c r="G98" t="s">
        <v>20</v>
      </c>
      <c r="H98" t="s">
        <v>15</v>
      </c>
      <c r="I98" s="3">
        <v>1</v>
      </c>
      <c r="J98" t="s">
        <v>16</v>
      </c>
      <c r="K98" t="s">
        <v>17</v>
      </c>
      <c r="L98" s="3">
        <v>43</v>
      </c>
      <c r="M98" s="3" t="str" cm="1">
        <f t="array" ref="M98">_xlfn.IFS(
L98&gt;=65,"Retirement Age",
AND(L98&lt;65,L98&gt;=40),"Middle Aged",
AND(L98&lt;40,L98&gt;=30),"In the 30s",
L98&lt;30,"Below 30")</f>
        <v>Middle Aged</v>
      </c>
      <c r="N98" t="s">
        <v>18</v>
      </c>
    </row>
    <row r="99" spans="1:14" x14ac:dyDescent="0.25">
      <c r="A99">
        <v>23940</v>
      </c>
      <c r="B99" t="s">
        <v>36</v>
      </c>
      <c r="C99" t="s">
        <v>38</v>
      </c>
      <c r="D99" s="1">
        <v>40000</v>
      </c>
      <c r="E99" s="3">
        <v>1</v>
      </c>
      <c r="F99" t="s">
        <v>13</v>
      </c>
      <c r="G99" t="s">
        <v>14</v>
      </c>
      <c r="H99" t="s">
        <v>15</v>
      </c>
      <c r="I99" s="3">
        <v>1</v>
      </c>
      <c r="J99" t="s">
        <v>16</v>
      </c>
      <c r="K99" t="s">
        <v>17</v>
      </c>
      <c r="L99" s="3">
        <v>44</v>
      </c>
      <c r="M99" s="3" t="str" cm="1">
        <f t="array" ref="M99">_xlfn.IFS(
L99&gt;=65,"Retirement Age",
AND(L99&lt;65,L99&gt;=40),"Middle Aged",
AND(L99&lt;40,L99&gt;=30),"In the 30s",
L99&lt;30,"Below 30")</f>
        <v>Middle Aged</v>
      </c>
      <c r="N99" t="s">
        <v>15</v>
      </c>
    </row>
    <row r="100" spans="1:14" x14ac:dyDescent="0.25">
      <c r="A100">
        <v>19441</v>
      </c>
      <c r="B100" t="s">
        <v>36</v>
      </c>
      <c r="C100" t="s">
        <v>38</v>
      </c>
      <c r="D100" s="1">
        <v>40000</v>
      </c>
      <c r="E100" s="3">
        <v>0</v>
      </c>
      <c r="F100" t="s">
        <v>31</v>
      </c>
      <c r="G100" t="s">
        <v>20</v>
      </c>
      <c r="H100" t="s">
        <v>15</v>
      </c>
      <c r="I100" s="3">
        <v>0</v>
      </c>
      <c r="J100" t="s">
        <v>16</v>
      </c>
      <c r="K100" t="s">
        <v>17</v>
      </c>
      <c r="L100" s="3">
        <v>25</v>
      </c>
      <c r="M100" s="3" t="str" cm="1">
        <f t="array" ref="M100">_xlfn.IFS(
L100&gt;=65,"Retirement Age",
AND(L100&lt;65,L100&gt;=40),"Middle Aged",
AND(L100&lt;40,L100&gt;=30),"In the 30s",
L100&lt;30,"Below 30")</f>
        <v>Below 30</v>
      </c>
      <c r="N100" t="s">
        <v>15</v>
      </c>
    </row>
    <row r="101" spans="1:14" x14ac:dyDescent="0.25">
      <c r="A101">
        <v>26852</v>
      </c>
      <c r="B101" t="s">
        <v>36</v>
      </c>
      <c r="C101" t="s">
        <v>39</v>
      </c>
      <c r="D101" s="1">
        <v>20000</v>
      </c>
      <c r="E101" s="3">
        <v>3</v>
      </c>
      <c r="F101" t="s">
        <v>27</v>
      </c>
      <c r="G101" t="s">
        <v>25</v>
      </c>
      <c r="H101" t="s">
        <v>15</v>
      </c>
      <c r="I101" s="3">
        <v>2</v>
      </c>
      <c r="J101" t="s">
        <v>16</v>
      </c>
      <c r="K101" t="s">
        <v>17</v>
      </c>
      <c r="L101" s="3">
        <v>43</v>
      </c>
      <c r="M101" s="3" t="str" cm="1">
        <f t="array" ref="M101">_xlfn.IFS(
L101&gt;=65,"Retirement Age",
AND(L101&lt;65,L101&gt;=40),"Middle Aged",
AND(L101&lt;40,L101&gt;=30),"In the 30s",
L101&lt;30,"Below 30")</f>
        <v>Middle Aged</v>
      </c>
      <c r="N101" t="s">
        <v>18</v>
      </c>
    </row>
    <row r="102" spans="1:14" x14ac:dyDescent="0.25">
      <c r="A102">
        <v>12274</v>
      </c>
      <c r="B102" t="s">
        <v>37</v>
      </c>
      <c r="C102" t="s">
        <v>38</v>
      </c>
      <c r="D102" s="1">
        <v>10000</v>
      </c>
      <c r="E102" s="3">
        <v>2</v>
      </c>
      <c r="F102" t="s">
        <v>27</v>
      </c>
      <c r="G102" t="s">
        <v>25</v>
      </c>
      <c r="H102" t="s">
        <v>15</v>
      </c>
      <c r="I102" s="3">
        <v>0</v>
      </c>
      <c r="J102" t="s">
        <v>16</v>
      </c>
      <c r="K102" t="s">
        <v>17</v>
      </c>
      <c r="L102" s="3">
        <v>35</v>
      </c>
      <c r="M102" s="3" t="str" cm="1">
        <f t="array" ref="M102">_xlfn.IFS(
L102&gt;=65,"Retirement Age",
AND(L102&lt;65,L102&gt;=40),"Middle Aged",
AND(L102&lt;40,L102&gt;=30),"In the 30s",
L102&lt;30,"Below 30")</f>
        <v>In the 30s</v>
      </c>
      <c r="N102" t="s">
        <v>18</v>
      </c>
    </row>
    <row r="103" spans="1:14" x14ac:dyDescent="0.25">
      <c r="A103">
        <v>20236</v>
      </c>
      <c r="B103" t="s">
        <v>37</v>
      </c>
      <c r="C103" t="s">
        <v>38</v>
      </c>
      <c r="D103" s="1">
        <v>60000</v>
      </c>
      <c r="E103" s="3">
        <v>3</v>
      </c>
      <c r="F103" t="s">
        <v>13</v>
      </c>
      <c r="G103" t="s">
        <v>21</v>
      </c>
      <c r="H103" t="s">
        <v>18</v>
      </c>
      <c r="I103" s="3">
        <v>2</v>
      </c>
      <c r="J103" t="s">
        <v>16</v>
      </c>
      <c r="K103" t="s">
        <v>24</v>
      </c>
      <c r="L103" s="3">
        <v>43</v>
      </c>
      <c r="M103" s="3" t="str" cm="1">
        <f t="array" ref="M103">_xlfn.IFS(
L103&gt;=65,"Retirement Age",
AND(L103&lt;65,L103&gt;=40),"Middle Aged",
AND(L103&lt;40,L103&gt;=30),"In the 30s",
L103&lt;30,"Below 30")</f>
        <v>Middle Aged</v>
      </c>
      <c r="N103" t="s">
        <v>15</v>
      </c>
    </row>
    <row r="104" spans="1:14" x14ac:dyDescent="0.25">
      <c r="A104">
        <v>24149</v>
      </c>
      <c r="B104" t="s">
        <v>36</v>
      </c>
      <c r="C104" t="s">
        <v>38</v>
      </c>
      <c r="D104" s="1">
        <v>10000</v>
      </c>
      <c r="E104" s="3">
        <v>2</v>
      </c>
      <c r="F104" t="s">
        <v>19</v>
      </c>
      <c r="G104" t="s">
        <v>25</v>
      </c>
      <c r="H104" t="s">
        <v>15</v>
      </c>
      <c r="I104" s="3">
        <v>0</v>
      </c>
      <c r="J104" t="s">
        <v>26</v>
      </c>
      <c r="K104" t="s">
        <v>17</v>
      </c>
      <c r="L104" s="3">
        <v>49</v>
      </c>
      <c r="M104" s="3" t="str" cm="1">
        <f t="array" ref="M104">_xlfn.IFS(
L104&gt;=65,"Retirement Age",
AND(L104&lt;65,L104&gt;=40),"Middle Aged",
AND(L104&lt;40,L104&gt;=30),"In the 30s",
L104&lt;30,"Below 30")</f>
        <v>Middle Aged</v>
      </c>
      <c r="N104" t="s">
        <v>18</v>
      </c>
    </row>
    <row r="105" spans="1:14" x14ac:dyDescent="0.25">
      <c r="A105">
        <v>26139</v>
      </c>
      <c r="B105" t="s">
        <v>37</v>
      </c>
      <c r="C105" t="s">
        <v>38</v>
      </c>
      <c r="D105" s="1">
        <v>60000</v>
      </c>
      <c r="E105" s="3">
        <v>1</v>
      </c>
      <c r="F105" t="s">
        <v>19</v>
      </c>
      <c r="G105" t="s">
        <v>14</v>
      </c>
      <c r="H105" t="s">
        <v>15</v>
      </c>
      <c r="I105" s="3">
        <v>1</v>
      </c>
      <c r="J105" t="s">
        <v>23</v>
      </c>
      <c r="K105" t="s">
        <v>24</v>
      </c>
      <c r="L105" s="3">
        <v>45</v>
      </c>
      <c r="M105" s="3" t="str" cm="1">
        <f t="array" ref="M105">_xlfn.IFS(
L105&gt;=65,"Retirement Age",
AND(L105&lt;65,L105&gt;=40),"Middle Aged",
AND(L105&lt;40,L105&gt;=30),"In the 30s",
L105&lt;30,"Below 30")</f>
        <v>Middle Aged</v>
      </c>
      <c r="N105" t="s">
        <v>18</v>
      </c>
    </row>
    <row r="106" spans="1:14" x14ac:dyDescent="0.25">
      <c r="A106">
        <v>18491</v>
      </c>
      <c r="B106" t="s">
        <v>37</v>
      </c>
      <c r="C106" t="s">
        <v>39</v>
      </c>
      <c r="D106" s="1">
        <v>70000</v>
      </c>
      <c r="E106" s="3">
        <v>2</v>
      </c>
      <c r="F106" t="s">
        <v>27</v>
      </c>
      <c r="G106" t="s">
        <v>21</v>
      </c>
      <c r="H106" t="s">
        <v>15</v>
      </c>
      <c r="I106" s="3">
        <v>2</v>
      </c>
      <c r="J106" t="s">
        <v>23</v>
      </c>
      <c r="K106" t="s">
        <v>24</v>
      </c>
      <c r="L106" s="3">
        <v>49</v>
      </c>
      <c r="M106" s="3" t="str" cm="1">
        <f t="array" ref="M106">_xlfn.IFS(
L106&gt;=65,"Retirement Age",
AND(L106&lt;65,L106&gt;=40),"Middle Aged",
AND(L106&lt;40,L106&gt;=30),"In the 30s",
L106&lt;30,"Below 30")</f>
        <v>Middle Aged</v>
      </c>
      <c r="N106" t="s">
        <v>15</v>
      </c>
    </row>
    <row r="107" spans="1:14" x14ac:dyDescent="0.25">
      <c r="A107">
        <v>22707</v>
      </c>
      <c r="B107" t="s">
        <v>37</v>
      </c>
      <c r="C107" t="s">
        <v>39</v>
      </c>
      <c r="D107" s="1">
        <v>30000</v>
      </c>
      <c r="E107" s="3">
        <v>0</v>
      </c>
      <c r="F107" t="s">
        <v>19</v>
      </c>
      <c r="G107" t="s">
        <v>20</v>
      </c>
      <c r="H107" t="s">
        <v>18</v>
      </c>
      <c r="I107" s="3">
        <v>1</v>
      </c>
      <c r="J107" t="s">
        <v>22</v>
      </c>
      <c r="K107" t="s">
        <v>17</v>
      </c>
      <c r="L107" s="3">
        <v>30</v>
      </c>
      <c r="M107" s="3" t="str" cm="1">
        <f t="array" ref="M107">_xlfn.IFS(
L107&gt;=65,"Retirement Age",
AND(L107&lt;65,L107&gt;=40),"Middle Aged",
AND(L107&lt;40,L107&gt;=30),"In the 30s",
L107&lt;30,"Below 30")</f>
        <v>In the 30s</v>
      </c>
      <c r="N107" t="s">
        <v>18</v>
      </c>
    </row>
    <row r="108" spans="1:14" x14ac:dyDescent="0.25">
      <c r="A108">
        <v>20430</v>
      </c>
      <c r="B108" t="s">
        <v>36</v>
      </c>
      <c r="C108" t="s">
        <v>38</v>
      </c>
      <c r="D108" s="1">
        <v>70000</v>
      </c>
      <c r="E108" s="3">
        <v>2</v>
      </c>
      <c r="F108" t="s">
        <v>19</v>
      </c>
      <c r="G108" t="s">
        <v>14</v>
      </c>
      <c r="H108" t="s">
        <v>15</v>
      </c>
      <c r="I108" s="3">
        <v>2</v>
      </c>
      <c r="J108" t="s">
        <v>23</v>
      </c>
      <c r="K108" t="s">
        <v>24</v>
      </c>
      <c r="L108" s="3">
        <v>52</v>
      </c>
      <c r="M108" s="3" t="str" cm="1">
        <f t="array" ref="M108">_xlfn.IFS(
L108&gt;=65,"Retirement Age",
AND(L108&lt;65,L108&gt;=40),"Middle Aged",
AND(L108&lt;40,L108&gt;=30),"In the 30s",
L108&lt;30,"Below 30")</f>
        <v>Middle Aged</v>
      </c>
      <c r="N108" t="s">
        <v>15</v>
      </c>
    </row>
    <row r="109" spans="1:14" x14ac:dyDescent="0.25">
      <c r="A109">
        <v>27494</v>
      </c>
      <c r="B109" t="s">
        <v>37</v>
      </c>
      <c r="C109" t="s">
        <v>39</v>
      </c>
      <c r="D109" s="1">
        <v>40000</v>
      </c>
      <c r="E109" s="3">
        <v>2</v>
      </c>
      <c r="F109" t="s">
        <v>19</v>
      </c>
      <c r="G109" t="s">
        <v>14</v>
      </c>
      <c r="H109" t="s">
        <v>18</v>
      </c>
      <c r="I109" s="3">
        <v>2</v>
      </c>
      <c r="J109" t="s">
        <v>26</v>
      </c>
      <c r="K109" t="s">
        <v>24</v>
      </c>
      <c r="L109" s="3">
        <v>53</v>
      </c>
      <c r="M109" s="3" t="str" cm="1">
        <f t="array" ref="M109">_xlfn.IFS(
L109&gt;=65,"Retirement Age",
AND(L109&lt;65,L109&gt;=40),"Middle Aged",
AND(L109&lt;40,L109&gt;=30),"In the 30s",
L109&lt;30,"Below 30")</f>
        <v>Middle Aged</v>
      </c>
      <c r="N109" t="s">
        <v>15</v>
      </c>
    </row>
    <row r="110" spans="1:14" x14ac:dyDescent="0.25">
      <c r="A110">
        <v>26829</v>
      </c>
      <c r="B110" t="s">
        <v>36</v>
      </c>
      <c r="C110" t="s">
        <v>39</v>
      </c>
      <c r="D110" s="1">
        <v>40000</v>
      </c>
      <c r="E110" s="3">
        <v>0</v>
      </c>
      <c r="F110" t="s">
        <v>13</v>
      </c>
      <c r="G110" t="s">
        <v>20</v>
      </c>
      <c r="H110" t="s">
        <v>15</v>
      </c>
      <c r="I110" s="3">
        <v>0</v>
      </c>
      <c r="J110" t="s">
        <v>16</v>
      </c>
      <c r="K110" t="s">
        <v>17</v>
      </c>
      <c r="L110" s="3">
        <v>38</v>
      </c>
      <c r="M110" s="3" t="str" cm="1">
        <f t="array" ref="M110">_xlfn.IFS(
L110&gt;=65,"Retirement Age",
AND(L110&lt;65,L110&gt;=40),"Middle Aged",
AND(L110&lt;40,L110&gt;=30),"In the 30s",
L110&lt;30,"Below 30")</f>
        <v>In the 30s</v>
      </c>
      <c r="N110" t="s">
        <v>15</v>
      </c>
    </row>
    <row r="111" spans="1:14" x14ac:dyDescent="0.25">
      <c r="A111">
        <v>28395</v>
      </c>
      <c r="B111" t="s">
        <v>37</v>
      </c>
      <c r="C111" t="s">
        <v>38</v>
      </c>
      <c r="D111" s="1">
        <v>40000</v>
      </c>
      <c r="E111" s="3">
        <v>0</v>
      </c>
      <c r="F111" t="s">
        <v>13</v>
      </c>
      <c r="G111" t="s">
        <v>21</v>
      </c>
      <c r="H111" t="s">
        <v>18</v>
      </c>
      <c r="I111" s="3">
        <v>0</v>
      </c>
      <c r="J111" t="s">
        <v>16</v>
      </c>
      <c r="K111" t="s">
        <v>17</v>
      </c>
      <c r="L111" s="3">
        <v>39</v>
      </c>
      <c r="M111" s="3" t="str" cm="1">
        <f t="array" ref="M111">_xlfn.IFS(
L111&gt;=65,"Retirement Age",
AND(L111&lt;65,L111&gt;=40),"Middle Aged",
AND(L111&lt;40,L111&gt;=30),"In the 30s",
L111&lt;30,"Below 30")</f>
        <v>In the 30s</v>
      </c>
      <c r="N111" t="s">
        <v>15</v>
      </c>
    </row>
    <row r="112" spans="1:14" x14ac:dyDescent="0.25">
      <c r="A112">
        <v>21006</v>
      </c>
      <c r="B112" t="s">
        <v>37</v>
      </c>
      <c r="C112" t="s">
        <v>39</v>
      </c>
      <c r="D112" s="1">
        <v>30000</v>
      </c>
      <c r="E112" s="3">
        <v>1</v>
      </c>
      <c r="F112" t="s">
        <v>19</v>
      </c>
      <c r="G112" t="s">
        <v>25</v>
      </c>
      <c r="H112" t="s">
        <v>18</v>
      </c>
      <c r="I112" s="3">
        <v>0</v>
      </c>
      <c r="J112" t="s">
        <v>16</v>
      </c>
      <c r="K112" t="s">
        <v>17</v>
      </c>
      <c r="L112" s="3">
        <v>46</v>
      </c>
      <c r="M112" s="3" t="str" cm="1">
        <f t="array" ref="M112">_xlfn.IFS(
L112&gt;=65,"Retirement Age",
AND(L112&lt;65,L112&gt;=40),"Middle Aged",
AND(L112&lt;40,L112&gt;=30),"In the 30s",
L112&lt;30,"Below 30")</f>
        <v>Middle Aged</v>
      </c>
      <c r="N112" t="s">
        <v>15</v>
      </c>
    </row>
    <row r="113" spans="1:14" x14ac:dyDescent="0.25">
      <c r="A113">
        <v>14682</v>
      </c>
      <c r="B113" t="s">
        <v>37</v>
      </c>
      <c r="C113" t="s">
        <v>39</v>
      </c>
      <c r="D113" s="1">
        <v>70000</v>
      </c>
      <c r="E113" s="3">
        <v>0</v>
      </c>
      <c r="F113" t="s">
        <v>13</v>
      </c>
      <c r="G113" t="s">
        <v>21</v>
      </c>
      <c r="H113" t="s">
        <v>18</v>
      </c>
      <c r="I113" s="3">
        <v>1</v>
      </c>
      <c r="J113" t="s">
        <v>23</v>
      </c>
      <c r="K113" t="s">
        <v>24</v>
      </c>
      <c r="L113" s="3">
        <v>38</v>
      </c>
      <c r="M113" s="3" t="str" cm="1">
        <f t="array" ref="M113">_xlfn.IFS(
L113&gt;=65,"Retirement Age",
AND(L113&lt;65,L113&gt;=40),"Middle Aged",
AND(L113&lt;40,L113&gt;=30),"In the 30s",
L113&lt;30,"Below 30")</f>
        <v>In the 30s</v>
      </c>
      <c r="N113" t="s">
        <v>18</v>
      </c>
    </row>
    <row r="114" spans="1:14" x14ac:dyDescent="0.25">
      <c r="A114">
        <v>17650</v>
      </c>
      <c r="B114" t="s">
        <v>37</v>
      </c>
      <c r="C114" t="s">
        <v>39</v>
      </c>
      <c r="D114" s="1">
        <v>40000</v>
      </c>
      <c r="E114" s="3">
        <v>2</v>
      </c>
      <c r="F114" t="s">
        <v>19</v>
      </c>
      <c r="G114" t="s">
        <v>20</v>
      </c>
      <c r="H114" t="s">
        <v>15</v>
      </c>
      <c r="I114" s="3">
        <v>2</v>
      </c>
      <c r="J114" t="s">
        <v>26</v>
      </c>
      <c r="K114" t="s">
        <v>17</v>
      </c>
      <c r="L114" s="3">
        <v>35</v>
      </c>
      <c r="M114" s="3" t="str" cm="1">
        <f t="array" ref="M114">_xlfn.IFS(
L114&gt;=65,"Retirement Age",
AND(L114&lt;65,L114&gt;=40),"Middle Aged",
AND(L114&lt;40,L114&gt;=30),"In the 30s",
L114&lt;30,"Below 30")</f>
        <v>In the 30s</v>
      </c>
      <c r="N114" t="s">
        <v>18</v>
      </c>
    </row>
    <row r="115" spans="1:14" x14ac:dyDescent="0.25">
      <c r="A115">
        <v>29191</v>
      </c>
      <c r="B115" t="s">
        <v>37</v>
      </c>
      <c r="C115" t="s">
        <v>39</v>
      </c>
      <c r="D115" s="1">
        <v>130000</v>
      </c>
      <c r="E115" s="3">
        <v>1</v>
      </c>
      <c r="F115" t="s">
        <v>31</v>
      </c>
      <c r="G115" t="s">
        <v>28</v>
      </c>
      <c r="H115" t="s">
        <v>18</v>
      </c>
      <c r="I115" s="3">
        <v>1</v>
      </c>
      <c r="J115" t="s">
        <v>16</v>
      </c>
      <c r="K115" t="s">
        <v>24</v>
      </c>
      <c r="L115" s="3">
        <v>36</v>
      </c>
      <c r="M115" s="3" t="str" cm="1">
        <f t="array" ref="M115">_xlfn.IFS(
L115&gt;=65,"Retirement Age",
AND(L115&lt;65,L115&gt;=40),"Middle Aged",
AND(L115&lt;40,L115&gt;=30),"In the 30s",
L115&lt;30,"Below 30")</f>
        <v>In the 30s</v>
      </c>
      <c r="N115" t="s">
        <v>15</v>
      </c>
    </row>
    <row r="116" spans="1:14" x14ac:dyDescent="0.25">
      <c r="A116">
        <v>15030</v>
      </c>
      <c r="B116" t="s">
        <v>36</v>
      </c>
      <c r="C116" t="s">
        <v>38</v>
      </c>
      <c r="D116" s="1">
        <v>20000</v>
      </c>
      <c r="E116" s="3">
        <v>0</v>
      </c>
      <c r="F116" t="s">
        <v>13</v>
      </c>
      <c r="G116" t="s">
        <v>20</v>
      </c>
      <c r="H116" t="s">
        <v>15</v>
      </c>
      <c r="I116" s="3">
        <v>0</v>
      </c>
      <c r="J116" t="s">
        <v>16</v>
      </c>
      <c r="K116" t="s">
        <v>24</v>
      </c>
      <c r="L116" s="3">
        <v>26</v>
      </c>
      <c r="M116" s="3" t="str" cm="1">
        <f t="array" ref="M116">_xlfn.IFS(
L116&gt;=65,"Retirement Age",
AND(L116&lt;65,L116&gt;=40),"Middle Aged",
AND(L116&lt;40,L116&gt;=30),"In the 30s",
L116&lt;30,"Below 30")</f>
        <v>Below 30</v>
      </c>
      <c r="N116" t="s">
        <v>15</v>
      </c>
    </row>
    <row r="117" spans="1:14" x14ac:dyDescent="0.25">
      <c r="A117">
        <v>24140</v>
      </c>
      <c r="B117" t="s">
        <v>37</v>
      </c>
      <c r="C117" t="s">
        <v>38</v>
      </c>
      <c r="D117" s="1">
        <v>10000</v>
      </c>
      <c r="E117" s="3">
        <v>0</v>
      </c>
      <c r="F117" t="s">
        <v>31</v>
      </c>
      <c r="G117" t="s">
        <v>25</v>
      </c>
      <c r="H117" t="s">
        <v>18</v>
      </c>
      <c r="I117" s="3">
        <v>0</v>
      </c>
      <c r="J117" t="s">
        <v>16</v>
      </c>
      <c r="K117" t="s">
        <v>17</v>
      </c>
      <c r="L117" s="3">
        <v>30</v>
      </c>
      <c r="M117" s="3" t="str" cm="1">
        <f t="array" ref="M117">_xlfn.IFS(
L117&gt;=65,"Retirement Age",
AND(L117&lt;65,L117&gt;=40),"Middle Aged",
AND(L117&lt;40,L117&gt;=30),"In the 30s",
L117&lt;30,"Below 30")</f>
        <v>In the 30s</v>
      </c>
      <c r="N117" t="s">
        <v>15</v>
      </c>
    </row>
    <row r="118" spans="1:14" x14ac:dyDescent="0.25">
      <c r="A118">
        <v>22496</v>
      </c>
      <c r="B118" t="s">
        <v>36</v>
      </c>
      <c r="C118" t="s">
        <v>39</v>
      </c>
      <c r="D118" s="1">
        <v>30000</v>
      </c>
      <c r="E118" s="3">
        <v>1</v>
      </c>
      <c r="F118" t="s">
        <v>13</v>
      </c>
      <c r="G118" t="s">
        <v>14</v>
      </c>
      <c r="H118" t="s">
        <v>15</v>
      </c>
      <c r="I118" s="3">
        <v>2</v>
      </c>
      <c r="J118" t="s">
        <v>16</v>
      </c>
      <c r="K118" t="s">
        <v>17</v>
      </c>
      <c r="L118" s="3">
        <v>42</v>
      </c>
      <c r="M118" s="3" t="str" cm="1">
        <f t="array" ref="M118">_xlfn.IFS(
L118&gt;=65,"Retirement Age",
AND(L118&lt;65,L118&gt;=40),"Middle Aged",
AND(L118&lt;40,L118&gt;=30),"In the 30s",
L118&lt;30,"Below 30")</f>
        <v>Middle Aged</v>
      </c>
      <c r="N118" t="s">
        <v>18</v>
      </c>
    </row>
    <row r="119" spans="1:14" x14ac:dyDescent="0.25">
      <c r="A119">
        <v>24065</v>
      </c>
      <c r="B119" t="s">
        <v>37</v>
      </c>
      <c r="C119" t="s">
        <v>39</v>
      </c>
      <c r="D119" s="1">
        <v>20000</v>
      </c>
      <c r="E119" s="3">
        <v>0</v>
      </c>
      <c r="F119" t="s">
        <v>27</v>
      </c>
      <c r="G119" t="s">
        <v>25</v>
      </c>
      <c r="H119" t="s">
        <v>15</v>
      </c>
      <c r="I119" s="3">
        <v>0</v>
      </c>
      <c r="J119" t="s">
        <v>16</v>
      </c>
      <c r="K119" t="s">
        <v>17</v>
      </c>
      <c r="L119" s="3">
        <v>40</v>
      </c>
      <c r="M119" s="3" t="str" cm="1">
        <f t="array" ref="M119">_xlfn.IFS(
L119&gt;=65,"Retirement Age",
AND(L119&lt;65,L119&gt;=40),"Middle Aged",
AND(L119&lt;40,L119&gt;=30),"In the 30s",
L119&lt;30,"Below 30")</f>
        <v>Middle Aged</v>
      </c>
      <c r="N119" t="s">
        <v>15</v>
      </c>
    </row>
    <row r="120" spans="1:14" x14ac:dyDescent="0.25">
      <c r="A120">
        <v>19914</v>
      </c>
      <c r="B120" t="s">
        <v>36</v>
      </c>
      <c r="C120" t="s">
        <v>38</v>
      </c>
      <c r="D120" s="1">
        <v>80000</v>
      </c>
      <c r="E120" s="3">
        <v>5</v>
      </c>
      <c r="F120" t="s">
        <v>13</v>
      </c>
      <c r="G120" t="s">
        <v>28</v>
      </c>
      <c r="H120" t="s">
        <v>15</v>
      </c>
      <c r="I120" s="3">
        <v>2</v>
      </c>
      <c r="J120" t="s">
        <v>22</v>
      </c>
      <c r="K120" t="s">
        <v>17</v>
      </c>
      <c r="L120" s="3">
        <v>62</v>
      </c>
      <c r="M120" s="3" t="str" cm="1">
        <f t="array" ref="M120">_xlfn.IFS(
L120&gt;=65,"Retirement Age",
AND(L120&lt;65,L120&gt;=40),"Middle Aged",
AND(L120&lt;40,L120&gt;=30),"In the 30s",
L120&lt;30,"Below 30")</f>
        <v>Middle Aged</v>
      </c>
      <c r="N120" t="s">
        <v>18</v>
      </c>
    </row>
    <row r="121" spans="1:14" x14ac:dyDescent="0.25">
      <c r="A121">
        <v>12871</v>
      </c>
      <c r="B121" t="s">
        <v>37</v>
      </c>
      <c r="C121" t="s">
        <v>39</v>
      </c>
      <c r="D121" s="1">
        <v>30000</v>
      </c>
      <c r="E121" s="3">
        <v>0</v>
      </c>
      <c r="F121" t="s">
        <v>19</v>
      </c>
      <c r="G121" t="s">
        <v>20</v>
      </c>
      <c r="H121" t="s">
        <v>18</v>
      </c>
      <c r="I121" s="3">
        <v>1</v>
      </c>
      <c r="J121" t="s">
        <v>22</v>
      </c>
      <c r="K121" t="s">
        <v>17</v>
      </c>
      <c r="L121" s="3">
        <v>29</v>
      </c>
      <c r="M121" s="3" t="str" cm="1">
        <f t="array" ref="M121">_xlfn.IFS(
L121&gt;=65,"Retirement Age",
AND(L121&lt;65,L121&gt;=40),"Middle Aged",
AND(L121&lt;40,L121&gt;=30),"In the 30s",
L121&lt;30,"Below 30")</f>
        <v>Below 30</v>
      </c>
      <c r="N121" t="s">
        <v>18</v>
      </c>
    </row>
    <row r="122" spans="1:14" x14ac:dyDescent="0.25">
      <c r="A122">
        <v>22988</v>
      </c>
      <c r="B122" t="s">
        <v>36</v>
      </c>
      <c r="C122" t="s">
        <v>39</v>
      </c>
      <c r="D122" s="1">
        <v>40000</v>
      </c>
      <c r="E122" s="3">
        <v>2</v>
      </c>
      <c r="F122" t="s">
        <v>13</v>
      </c>
      <c r="G122" t="s">
        <v>28</v>
      </c>
      <c r="H122" t="s">
        <v>15</v>
      </c>
      <c r="I122" s="3">
        <v>2</v>
      </c>
      <c r="J122" t="s">
        <v>23</v>
      </c>
      <c r="K122" t="s">
        <v>24</v>
      </c>
      <c r="L122" s="3">
        <v>66</v>
      </c>
      <c r="M122" s="3" t="str" cm="1">
        <f t="array" ref="M122">_xlfn.IFS(
L122&gt;=65,"Retirement Age",
AND(L122&lt;65,L122&gt;=40),"Middle Aged",
AND(L122&lt;40,L122&gt;=30),"In the 30s",
L122&lt;30,"Below 30")</f>
        <v>Retirement Age</v>
      </c>
      <c r="N122" t="s">
        <v>15</v>
      </c>
    </row>
    <row r="123" spans="1:14" x14ac:dyDescent="0.25">
      <c r="A123">
        <v>15922</v>
      </c>
      <c r="B123" t="s">
        <v>36</v>
      </c>
      <c r="C123" t="s">
        <v>38</v>
      </c>
      <c r="D123" s="1">
        <v>150000</v>
      </c>
      <c r="E123" s="3">
        <v>2</v>
      </c>
      <c r="F123" t="s">
        <v>27</v>
      </c>
      <c r="G123" t="s">
        <v>21</v>
      </c>
      <c r="H123" t="s">
        <v>15</v>
      </c>
      <c r="I123" s="3">
        <v>4</v>
      </c>
      <c r="J123" t="s">
        <v>16</v>
      </c>
      <c r="K123" t="s">
        <v>17</v>
      </c>
      <c r="L123" s="3">
        <v>48</v>
      </c>
      <c r="M123" s="3" t="str" cm="1">
        <f t="array" ref="M123">_xlfn.IFS(
L123&gt;=65,"Retirement Age",
AND(L123&lt;65,L123&gt;=40),"Middle Aged",
AND(L123&lt;40,L123&gt;=30),"In the 30s",
L123&lt;30,"Below 30")</f>
        <v>Middle Aged</v>
      </c>
      <c r="N123" t="s">
        <v>18</v>
      </c>
    </row>
    <row r="124" spans="1:14" x14ac:dyDescent="0.25">
      <c r="A124">
        <v>12344</v>
      </c>
      <c r="B124" t="s">
        <v>37</v>
      </c>
      <c r="C124" t="s">
        <v>39</v>
      </c>
      <c r="D124" s="1">
        <v>80000</v>
      </c>
      <c r="E124" s="3">
        <v>0</v>
      </c>
      <c r="F124" t="s">
        <v>13</v>
      </c>
      <c r="G124" t="s">
        <v>21</v>
      </c>
      <c r="H124" t="s">
        <v>18</v>
      </c>
      <c r="I124" s="3">
        <v>3</v>
      </c>
      <c r="J124" t="s">
        <v>45</v>
      </c>
      <c r="K124" t="s">
        <v>24</v>
      </c>
      <c r="L124" s="3">
        <v>31</v>
      </c>
      <c r="M124" s="3" t="str" cm="1">
        <f t="array" ref="M124">_xlfn.IFS(
L124&gt;=65,"Retirement Age",
AND(L124&lt;65,L124&gt;=40),"Middle Aged",
AND(L124&lt;40,L124&gt;=30),"In the 30s",
L124&lt;30,"Below 30")</f>
        <v>In the 30s</v>
      </c>
      <c r="N124" t="s">
        <v>18</v>
      </c>
    </row>
    <row r="125" spans="1:14" x14ac:dyDescent="0.25">
      <c r="A125">
        <v>23627</v>
      </c>
      <c r="B125" t="s">
        <v>37</v>
      </c>
      <c r="C125" t="s">
        <v>39</v>
      </c>
      <c r="D125" s="1">
        <v>100000</v>
      </c>
      <c r="E125" s="3">
        <v>3</v>
      </c>
      <c r="F125" t="s">
        <v>19</v>
      </c>
      <c r="G125" t="s">
        <v>28</v>
      </c>
      <c r="H125" t="s">
        <v>18</v>
      </c>
      <c r="I125" s="3">
        <v>4</v>
      </c>
      <c r="J125" t="s">
        <v>23</v>
      </c>
      <c r="K125" t="s">
        <v>17</v>
      </c>
      <c r="L125" s="3">
        <v>56</v>
      </c>
      <c r="M125" s="3" t="str" cm="1">
        <f t="array" ref="M125">_xlfn.IFS(
L125&gt;=65,"Retirement Age",
AND(L125&lt;65,L125&gt;=40),"Middle Aged",
AND(L125&lt;40,L125&gt;=30),"In the 30s",
L125&lt;30,"Below 30")</f>
        <v>Middle Aged</v>
      </c>
      <c r="N125" t="s">
        <v>18</v>
      </c>
    </row>
    <row r="126" spans="1:14" x14ac:dyDescent="0.25">
      <c r="A126">
        <v>27775</v>
      </c>
      <c r="B126" t="s">
        <v>37</v>
      </c>
      <c r="C126" t="s">
        <v>39</v>
      </c>
      <c r="D126" s="1">
        <v>40000</v>
      </c>
      <c r="E126" s="3">
        <v>0</v>
      </c>
      <c r="F126" t="s">
        <v>13</v>
      </c>
      <c r="G126" t="s">
        <v>20</v>
      </c>
      <c r="H126" t="s">
        <v>18</v>
      </c>
      <c r="I126" s="3">
        <v>0</v>
      </c>
      <c r="J126" t="s">
        <v>16</v>
      </c>
      <c r="K126" t="s">
        <v>17</v>
      </c>
      <c r="L126" s="3">
        <v>38</v>
      </c>
      <c r="M126" s="3" t="str" cm="1">
        <f t="array" ref="M126">_xlfn.IFS(
L126&gt;=65,"Retirement Age",
AND(L126&lt;65,L126&gt;=40),"Middle Aged",
AND(L126&lt;40,L126&gt;=30),"In the 30s",
L126&lt;30,"Below 30")</f>
        <v>In the 30s</v>
      </c>
      <c r="N126" t="s">
        <v>15</v>
      </c>
    </row>
    <row r="127" spans="1:14" x14ac:dyDescent="0.25">
      <c r="A127">
        <v>29301</v>
      </c>
      <c r="B127" t="s">
        <v>36</v>
      </c>
      <c r="C127" t="s">
        <v>38</v>
      </c>
      <c r="D127" s="1">
        <v>80000</v>
      </c>
      <c r="E127" s="3">
        <v>5</v>
      </c>
      <c r="F127" t="s">
        <v>13</v>
      </c>
      <c r="G127" t="s">
        <v>21</v>
      </c>
      <c r="H127" t="s">
        <v>15</v>
      </c>
      <c r="I127" s="3">
        <v>4</v>
      </c>
      <c r="J127" t="s">
        <v>26</v>
      </c>
      <c r="K127" t="s">
        <v>24</v>
      </c>
      <c r="L127" s="3">
        <v>40</v>
      </c>
      <c r="M127" s="3" t="str" cm="1">
        <f t="array" ref="M127">_xlfn.IFS(
L127&gt;=65,"Retirement Age",
AND(L127&lt;65,L127&gt;=40),"Middle Aged",
AND(L127&lt;40,L127&gt;=30),"In the 30s",
L127&lt;30,"Below 30")</f>
        <v>Middle Aged</v>
      </c>
      <c r="N127" t="s">
        <v>18</v>
      </c>
    </row>
    <row r="128" spans="1:14" x14ac:dyDescent="0.25">
      <c r="A128">
        <v>12716</v>
      </c>
      <c r="B128" t="s">
        <v>37</v>
      </c>
      <c r="C128" t="s">
        <v>38</v>
      </c>
      <c r="D128" s="1">
        <v>30000</v>
      </c>
      <c r="E128" s="3">
        <v>0</v>
      </c>
      <c r="F128" t="s">
        <v>19</v>
      </c>
      <c r="G128" t="s">
        <v>20</v>
      </c>
      <c r="H128" t="s">
        <v>15</v>
      </c>
      <c r="I128" s="3">
        <v>1</v>
      </c>
      <c r="J128" t="s">
        <v>22</v>
      </c>
      <c r="K128" t="s">
        <v>17</v>
      </c>
      <c r="L128" s="3">
        <v>32</v>
      </c>
      <c r="M128" s="3" t="str" cm="1">
        <f t="array" ref="M128">_xlfn.IFS(
L128&gt;=65,"Retirement Age",
AND(L128&lt;65,L128&gt;=40),"Middle Aged",
AND(L128&lt;40,L128&gt;=30),"In the 30s",
L128&lt;30,"Below 30")</f>
        <v>In the 30s</v>
      </c>
      <c r="N128" t="s">
        <v>18</v>
      </c>
    </row>
    <row r="129" spans="1:14" x14ac:dyDescent="0.25">
      <c r="A129">
        <v>12472</v>
      </c>
      <c r="B129" t="s">
        <v>36</v>
      </c>
      <c r="C129" t="s">
        <v>38</v>
      </c>
      <c r="D129" s="1">
        <v>30000</v>
      </c>
      <c r="E129" s="3">
        <v>1</v>
      </c>
      <c r="F129" t="s">
        <v>13</v>
      </c>
      <c r="G129" t="s">
        <v>20</v>
      </c>
      <c r="H129" t="s">
        <v>15</v>
      </c>
      <c r="I129" s="3">
        <v>1</v>
      </c>
      <c r="J129" t="s">
        <v>22</v>
      </c>
      <c r="K129" t="s">
        <v>17</v>
      </c>
      <c r="L129" s="3">
        <v>39</v>
      </c>
      <c r="M129" s="3" t="str" cm="1">
        <f t="array" ref="M129">_xlfn.IFS(
L129&gt;=65,"Retirement Age",
AND(L129&lt;65,L129&gt;=40),"Middle Aged",
AND(L129&lt;40,L129&gt;=30),"In the 30s",
L129&lt;30,"Below 30")</f>
        <v>In the 30s</v>
      </c>
      <c r="N129" t="s">
        <v>18</v>
      </c>
    </row>
    <row r="130" spans="1:14" x14ac:dyDescent="0.25">
      <c r="A130">
        <v>20970</v>
      </c>
      <c r="B130" t="s">
        <v>37</v>
      </c>
      <c r="C130" t="s">
        <v>38</v>
      </c>
      <c r="D130" s="1">
        <v>10000</v>
      </c>
      <c r="E130" s="3">
        <v>2</v>
      </c>
      <c r="F130" t="s">
        <v>19</v>
      </c>
      <c r="G130" t="s">
        <v>25</v>
      </c>
      <c r="H130" t="s">
        <v>15</v>
      </c>
      <c r="I130" s="3">
        <v>1</v>
      </c>
      <c r="J130" t="s">
        <v>16</v>
      </c>
      <c r="K130" t="s">
        <v>17</v>
      </c>
      <c r="L130" s="3">
        <v>52</v>
      </c>
      <c r="M130" s="3" t="str" cm="1">
        <f t="array" ref="M130">_xlfn.IFS(
L130&gt;=65,"Retirement Age",
AND(L130&lt;65,L130&gt;=40),"Middle Aged",
AND(L130&lt;40,L130&gt;=30),"In the 30s",
L130&lt;30,"Below 30")</f>
        <v>Middle Aged</v>
      </c>
      <c r="N130" t="s">
        <v>15</v>
      </c>
    </row>
    <row r="131" spans="1:14" x14ac:dyDescent="0.25">
      <c r="A131">
        <v>26818</v>
      </c>
      <c r="B131" t="s">
        <v>37</v>
      </c>
      <c r="C131" t="s">
        <v>38</v>
      </c>
      <c r="D131" s="1">
        <v>10000</v>
      </c>
      <c r="E131" s="3">
        <v>3</v>
      </c>
      <c r="F131" t="s">
        <v>27</v>
      </c>
      <c r="G131" t="s">
        <v>25</v>
      </c>
      <c r="H131" t="s">
        <v>15</v>
      </c>
      <c r="I131" s="3">
        <v>1</v>
      </c>
      <c r="J131" t="s">
        <v>16</v>
      </c>
      <c r="K131" t="s">
        <v>17</v>
      </c>
      <c r="L131" s="3">
        <v>39</v>
      </c>
      <c r="M131" s="3" t="str" cm="1">
        <f t="array" ref="M131">_xlfn.IFS(
L131&gt;=65,"Retirement Age",
AND(L131&lt;65,L131&gt;=40),"Middle Aged",
AND(L131&lt;40,L131&gt;=30),"In the 30s",
L131&lt;30,"Below 30")</f>
        <v>In the 30s</v>
      </c>
      <c r="N131" t="s">
        <v>15</v>
      </c>
    </row>
    <row r="132" spans="1:14" x14ac:dyDescent="0.25">
      <c r="A132">
        <v>12993</v>
      </c>
      <c r="B132" t="s">
        <v>36</v>
      </c>
      <c r="C132" t="s">
        <v>38</v>
      </c>
      <c r="D132" s="1">
        <v>60000</v>
      </c>
      <c r="E132" s="3">
        <v>2</v>
      </c>
      <c r="F132" t="s">
        <v>13</v>
      </c>
      <c r="G132" t="s">
        <v>21</v>
      </c>
      <c r="H132" t="s">
        <v>15</v>
      </c>
      <c r="I132" s="3">
        <v>1</v>
      </c>
      <c r="J132" t="s">
        <v>22</v>
      </c>
      <c r="K132" t="s">
        <v>24</v>
      </c>
      <c r="L132" s="3">
        <v>37</v>
      </c>
      <c r="M132" s="3" t="str" cm="1">
        <f t="array" ref="M132">_xlfn.IFS(
L132&gt;=65,"Retirement Age",
AND(L132&lt;65,L132&gt;=40),"Middle Aged",
AND(L132&lt;40,L132&gt;=30),"In the 30s",
L132&lt;30,"Below 30")</f>
        <v>In the 30s</v>
      </c>
      <c r="N132" t="s">
        <v>18</v>
      </c>
    </row>
    <row r="133" spans="1:14" x14ac:dyDescent="0.25">
      <c r="A133">
        <v>14192</v>
      </c>
      <c r="B133" t="s">
        <v>36</v>
      </c>
      <c r="C133" t="s">
        <v>38</v>
      </c>
      <c r="D133" s="1">
        <v>90000</v>
      </c>
      <c r="E133" s="3">
        <v>4</v>
      </c>
      <c r="F133" t="s">
        <v>27</v>
      </c>
      <c r="G133" t="s">
        <v>28</v>
      </c>
      <c r="H133" t="s">
        <v>15</v>
      </c>
      <c r="I133" s="3">
        <v>3</v>
      </c>
      <c r="J133" t="s">
        <v>23</v>
      </c>
      <c r="K133" t="s">
        <v>17</v>
      </c>
      <c r="L133" s="3">
        <v>56</v>
      </c>
      <c r="M133" s="3" t="str" cm="1">
        <f t="array" ref="M133">_xlfn.IFS(
L133&gt;=65,"Retirement Age",
AND(L133&lt;65,L133&gt;=40),"Middle Aged",
AND(L133&lt;40,L133&gt;=30),"In the 30s",
L133&lt;30,"Below 30")</f>
        <v>Middle Aged</v>
      </c>
      <c r="N133" t="s">
        <v>15</v>
      </c>
    </row>
    <row r="134" spans="1:14" x14ac:dyDescent="0.25">
      <c r="A134">
        <v>19477</v>
      </c>
      <c r="B134" t="s">
        <v>36</v>
      </c>
      <c r="C134" t="s">
        <v>38</v>
      </c>
      <c r="D134" s="1">
        <v>40000</v>
      </c>
      <c r="E134" s="3">
        <v>0</v>
      </c>
      <c r="F134" t="s">
        <v>13</v>
      </c>
      <c r="G134" t="s">
        <v>21</v>
      </c>
      <c r="H134" t="s">
        <v>15</v>
      </c>
      <c r="I134" s="3">
        <v>0</v>
      </c>
      <c r="J134" t="s">
        <v>16</v>
      </c>
      <c r="K134" t="s">
        <v>17</v>
      </c>
      <c r="L134" s="3">
        <v>40</v>
      </c>
      <c r="M134" s="3" t="str" cm="1">
        <f t="array" ref="M134">_xlfn.IFS(
L134&gt;=65,"Retirement Age",
AND(L134&lt;65,L134&gt;=40),"Middle Aged",
AND(L134&lt;40,L134&gt;=30),"In the 30s",
L134&lt;30,"Below 30")</f>
        <v>Middle Aged</v>
      </c>
      <c r="N134" t="s">
        <v>15</v>
      </c>
    </row>
    <row r="135" spans="1:14" x14ac:dyDescent="0.25">
      <c r="A135">
        <v>26796</v>
      </c>
      <c r="B135" t="s">
        <v>37</v>
      </c>
      <c r="C135" t="s">
        <v>38</v>
      </c>
      <c r="D135" s="1">
        <v>40000</v>
      </c>
      <c r="E135" s="3">
        <v>2</v>
      </c>
      <c r="F135" t="s">
        <v>13</v>
      </c>
      <c r="G135" t="s">
        <v>28</v>
      </c>
      <c r="H135" t="s">
        <v>15</v>
      </c>
      <c r="I135" s="3">
        <v>2</v>
      </c>
      <c r="J135" t="s">
        <v>23</v>
      </c>
      <c r="K135" t="s">
        <v>24</v>
      </c>
      <c r="L135" s="3">
        <v>65</v>
      </c>
      <c r="M135" s="3" t="str" cm="1">
        <f t="array" ref="M135">_xlfn.IFS(
L135&gt;=65,"Retirement Age",
AND(L135&lt;65,L135&gt;=40),"Middle Aged",
AND(L135&lt;40,L135&gt;=30),"In the 30s",
L135&lt;30,"Below 30")</f>
        <v>Retirement Age</v>
      </c>
      <c r="N135" t="s">
        <v>15</v>
      </c>
    </row>
    <row r="136" spans="1:14" x14ac:dyDescent="0.25">
      <c r="A136">
        <v>21094</v>
      </c>
      <c r="B136" t="s">
        <v>37</v>
      </c>
      <c r="C136" t="s">
        <v>39</v>
      </c>
      <c r="D136" s="1">
        <v>30000</v>
      </c>
      <c r="E136" s="3">
        <v>2</v>
      </c>
      <c r="F136" t="s">
        <v>19</v>
      </c>
      <c r="G136" t="s">
        <v>20</v>
      </c>
      <c r="H136" t="s">
        <v>15</v>
      </c>
      <c r="I136" s="3">
        <v>2</v>
      </c>
      <c r="J136" t="s">
        <v>16</v>
      </c>
      <c r="K136" t="s">
        <v>17</v>
      </c>
      <c r="L136" s="3">
        <v>42</v>
      </c>
      <c r="M136" s="3" t="str" cm="1">
        <f t="array" ref="M136">_xlfn.IFS(
L136&gt;=65,"Retirement Age",
AND(L136&lt;65,L136&gt;=40),"Middle Aged",
AND(L136&lt;40,L136&gt;=30),"In the 30s",
L136&lt;30,"Below 30")</f>
        <v>Middle Aged</v>
      </c>
      <c r="N136" t="s">
        <v>18</v>
      </c>
    </row>
    <row r="137" spans="1:14" x14ac:dyDescent="0.25">
      <c r="A137">
        <v>12234</v>
      </c>
      <c r="B137" t="s">
        <v>36</v>
      </c>
      <c r="C137" t="s">
        <v>38</v>
      </c>
      <c r="D137" s="1">
        <v>10000</v>
      </c>
      <c r="E137" s="3">
        <v>2</v>
      </c>
      <c r="F137" t="s">
        <v>19</v>
      </c>
      <c r="G137" t="s">
        <v>25</v>
      </c>
      <c r="H137" t="s">
        <v>15</v>
      </c>
      <c r="I137" s="3">
        <v>1</v>
      </c>
      <c r="J137" t="s">
        <v>22</v>
      </c>
      <c r="K137" t="s">
        <v>17</v>
      </c>
      <c r="L137" s="3">
        <v>52</v>
      </c>
      <c r="M137" s="3" t="str" cm="1">
        <f t="array" ref="M137">_xlfn.IFS(
L137&gt;=65,"Retirement Age",
AND(L137&lt;65,L137&gt;=40),"Middle Aged",
AND(L137&lt;40,L137&gt;=30),"In the 30s",
L137&lt;30,"Below 30")</f>
        <v>Middle Aged</v>
      </c>
      <c r="N137" t="s">
        <v>18</v>
      </c>
    </row>
    <row r="138" spans="1:14" x14ac:dyDescent="0.25">
      <c r="A138">
        <v>28683</v>
      </c>
      <c r="B138" t="s">
        <v>37</v>
      </c>
      <c r="C138" t="s">
        <v>39</v>
      </c>
      <c r="D138" s="1">
        <v>10000</v>
      </c>
      <c r="E138" s="3">
        <v>1</v>
      </c>
      <c r="F138" t="s">
        <v>27</v>
      </c>
      <c r="G138" t="s">
        <v>25</v>
      </c>
      <c r="H138" t="s">
        <v>18</v>
      </c>
      <c r="I138" s="3">
        <v>1</v>
      </c>
      <c r="J138" t="s">
        <v>23</v>
      </c>
      <c r="K138" t="s">
        <v>17</v>
      </c>
      <c r="L138" s="3">
        <v>35</v>
      </c>
      <c r="M138" s="3" t="str" cm="1">
        <f t="array" ref="M138">_xlfn.IFS(
L138&gt;=65,"Retirement Age",
AND(L138&lt;65,L138&gt;=40),"Middle Aged",
AND(L138&lt;40,L138&gt;=30),"In the 30s",
L138&lt;30,"Below 30")</f>
        <v>In the 30s</v>
      </c>
      <c r="N138" t="s">
        <v>15</v>
      </c>
    </row>
    <row r="139" spans="1:14" x14ac:dyDescent="0.25">
      <c r="A139">
        <v>17994</v>
      </c>
      <c r="B139" t="s">
        <v>37</v>
      </c>
      <c r="C139" t="s">
        <v>38</v>
      </c>
      <c r="D139" s="1">
        <v>20000</v>
      </c>
      <c r="E139" s="3">
        <v>2</v>
      </c>
      <c r="F139" t="s">
        <v>27</v>
      </c>
      <c r="G139" t="s">
        <v>25</v>
      </c>
      <c r="H139" t="s">
        <v>15</v>
      </c>
      <c r="I139" s="3">
        <v>2</v>
      </c>
      <c r="J139" t="s">
        <v>16</v>
      </c>
      <c r="K139" t="s">
        <v>17</v>
      </c>
      <c r="L139" s="3">
        <v>42</v>
      </c>
      <c r="M139" s="3" t="str" cm="1">
        <f t="array" ref="M139">_xlfn.IFS(
L139&gt;=65,"Retirement Age",
AND(L139&lt;65,L139&gt;=40),"Middle Aged",
AND(L139&lt;40,L139&gt;=30),"In the 30s",
L139&lt;30,"Below 30")</f>
        <v>Middle Aged</v>
      </c>
      <c r="N139" t="s">
        <v>18</v>
      </c>
    </row>
    <row r="140" spans="1:14" x14ac:dyDescent="0.25">
      <c r="A140">
        <v>24273</v>
      </c>
      <c r="B140" t="s">
        <v>36</v>
      </c>
      <c r="C140" t="s">
        <v>39</v>
      </c>
      <c r="D140" s="1">
        <v>20000</v>
      </c>
      <c r="E140" s="3">
        <v>2</v>
      </c>
      <c r="F140" t="s">
        <v>29</v>
      </c>
      <c r="G140" t="s">
        <v>20</v>
      </c>
      <c r="H140" t="s">
        <v>15</v>
      </c>
      <c r="I140" s="3">
        <v>2</v>
      </c>
      <c r="J140" t="s">
        <v>23</v>
      </c>
      <c r="K140" t="s">
        <v>24</v>
      </c>
      <c r="L140" s="3">
        <v>55</v>
      </c>
      <c r="M140" s="3" t="str" cm="1">
        <f t="array" ref="M140">_xlfn.IFS(
L140&gt;=65,"Retirement Age",
AND(L140&lt;65,L140&gt;=40),"Middle Aged",
AND(L140&lt;40,L140&gt;=30),"In the 30s",
L140&lt;30,"Below 30")</f>
        <v>Middle Aged</v>
      </c>
      <c r="N140" t="s">
        <v>15</v>
      </c>
    </row>
    <row r="141" spans="1:14" x14ac:dyDescent="0.25">
      <c r="A141">
        <v>26547</v>
      </c>
      <c r="B141" t="s">
        <v>37</v>
      </c>
      <c r="C141" t="s">
        <v>39</v>
      </c>
      <c r="D141" s="1">
        <v>30000</v>
      </c>
      <c r="E141" s="3">
        <v>2</v>
      </c>
      <c r="F141" t="s">
        <v>19</v>
      </c>
      <c r="G141" t="s">
        <v>20</v>
      </c>
      <c r="H141" t="s">
        <v>18</v>
      </c>
      <c r="I141" s="3">
        <v>2</v>
      </c>
      <c r="J141" t="s">
        <v>23</v>
      </c>
      <c r="K141" t="s">
        <v>24</v>
      </c>
      <c r="L141" s="3">
        <v>60</v>
      </c>
      <c r="M141" s="3" t="str" cm="1">
        <f t="array" ref="M141">_xlfn.IFS(
L141&gt;=65,"Retirement Age",
AND(L141&lt;65,L141&gt;=40),"Middle Aged",
AND(L141&lt;40,L141&gt;=30),"In the 30s",
L141&lt;30,"Below 30")</f>
        <v>Middle Aged</v>
      </c>
      <c r="N141" t="s">
        <v>15</v>
      </c>
    </row>
    <row r="142" spans="1:14" x14ac:dyDescent="0.25">
      <c r="A142">
        <v>22500</v>
      </c>
      <c r="B142" t="s">
        <v>37</v>
      </c>
      <c r="C142" t="s">
        <v>38</v>
      </c>
      <c r="D142" s="1">
        <v>40000</v>
      </c>
      <c r="E142" s="3">
        <v>0</v>
      </c>
      <c r="F142" t="s">
        <v>13</v>
      </c>
      <c r="G142" t="s">
        <v>21</v>
      </c>
      <c r="H142" t="s">
        <v>18</v>
      </c>
      <c r="I142" s="3">
        <v>0</v>
      </c>
      <c r="J142" t="s">
        <v>16</v>
      </c>
      <c r="K142" t="s">
        <v>17</v>
      </c>
      <c r="L142" s="3">
        <v>40</v>
      </c>
      <c r="M142" s="3" t="str" cm="1">
        <f t="array" ref="M142">_xlfn.IFS(
L142&gt;=65,"Retirement Age",
AND(L142&lt;65,L142&gt;=40),"Middle Aged",
AND(L142&lt;40,L142&gt;=30),"In the 30s",
L142&lt;30,"Below 30")</f>
        <v>Middle Aged</v>
      </c>
      <c r="N142" t="s">
        <v>15</v>
      </c>
    </row>
    <row r="143" spans="1:14" x14ac:dyDescent="0.25">
      <c r="A143">
        <v>23993</v>
      </c>
      <c r="B143" t="s">
        <v>37</v>
      </c>
      <c r="C143" t="s">
        <v>39</v>
      </c>
      <c r="D143" s="1">
        <v>10000</v>
      </c>
      <c r="E143" s="3">
        <v>0</v>
      </c>
      <c r="F143" t="s">
        <v>19</v>
      </c>
      <c r="G143" t="s">
        <v>25</v>
      </c>
      <c r="H143" t="s">
        <v>18</v>
      </c>
      <c r="I143" s="3">
        <v>1</v>
      </c>
      <c r="J143" t="s">
        <v>16</v>
      </c>
      <c r="K143" t="s">
        <v>24</v>
      </c>
      <c r="L143" s="3">
        <v>26</v>
      </c>
      <c r="M143" s="3" t="str" cm="1">
        <f t="array" ref="M143">_xlfn.IFS(
L143&gt;=65,"Retirement Age",
AND(L143&lt;65,L143&gt;=40),"Middle Aged",
AND(L143&lt;40,L143&gt;=30),"In the 30s",
L143&lt;30,"Below 30")</f>
        <v>Below 30</v>
      </c>
      <c r="N143" t="s">
        <v>15</v>
      </c>
    </row>
    <row r="144" spans="1:14" x14ac:dyDescent="0.25">
      <c r="A144">
        <v>14832</v>
      </c>
      <c r="B144" t="s">
        <v>36</v>
      </c>
      <c r="C144" t="s">
        <v>38</v>
      </c>
      <c r="D144" s="1">
        <v>40000</v>
      </c>
      <c r="E144" s="3">
        <v>1</v>
      </c>
      <c r="F144" t="s">
        <v>13</v>
      </c>
      <c r="G144" t="s">
        <v>14</v>
      </c>
      <c r="H144" t="s">
        <v>15</v>
      </c>
      <c r="I144" s="3">
        <v>0</v>
      </c>
      <c r="J144" t="s">
        <v>16</v>
      </c>
      <c r="K144" t="s">
        <v>17</v>
      </c>
      <c r="L144" s="3">
        <v>42</v>
      </c>
      <c r="M144" s="3" t="str" cm="1">
        <f t="array" ref="M144">_xlfn.IFS(
L144&gt;=65,"Retirement Age",
AND(L144&lt;65,L144&gt;=40),"Middle Aged",
AND(L144&lt;40,L144&gt;=30),"In the 30s",
L144&lt;30,"Below 30")</f>
        <v>Middle Aged</v>
      </c>
      <c r="N144" t="s">
        <v>15</v>
      </c>
    </row>
    <row r="145" spans="1:14" x14ac:dyDescent="0.25">
      <c r="A145">
        <v>16614</v>
      </c>
      <c r="B145" t="s">
        <v>36</v>
      </c>
      <c r="C145" t="s">
        <v>39</v>
      </c>
      <c r="D145" s="1">
        <v>80000</v>
      </c>
      <c r="E145" s="3">
        <v>0</v>
      </c>
      <c r="F145" t="s">
        <v>13</v>
      </c>
      <c r="G145" t="s">
        <v>21</v>
      </c>
      <c r="H145" t="s">
        <v>15</v>
      </c>
      <c r="I145" s="3">
        <v>3</v>
      </c>
      <c r="J145" t="s">
        <v>45</v>
      </c>
      <c r="K145" t="s">
        <v>24</v>
      </c>
      <c r="L145" s="3">
        <v>32</v>
      </c>
      <c r="M145" s="3" t="str" cm="1">
        <f t="array" ref="M145">_xlfn.IFS(
L145&gt;=65,"Retirement Age",
AND(L145&lt;65,L145&gt;=40),"Middle Aged",
AND(L145&lt;40,L145&gt;=30),"In the 30s",
L145&lt;30,"Below 30")</f>
        <v>In the 30s</v>
      </c>
      <c r="N145" t="s">
        <v>18</v>
      </c>
    </row>
    <row r="146" spans="1:14" x14ac:dyDescent="0.25">
      <c r="A146">
        <v>20877</v>
      </c>
      <c r="B146" t="s">
        <v>37</v>
      </c>
      <c r="C146" t="s">
        <v>38</v>
      </c>
      <c r="D146" s="1">
        <v>30000</v>
      </c>
      <c r="E146" s="3">
        <v>1</v>
      </c>
      <c r="F146" t="s">
        <v>13</v>
      </c>
      <c r="G146" t="s">
        <v>20</v>
      </c>
      <c r="H146" t="s">
        <v>15</v>
      </c>
      <c r="I146" s="3">
        <v>0</v>
      </c>
      <c r="J146" t="s">
        <v>26</v>
      </c>
      <c r="K146" t="s">
        <v>17</v>
      </c>
      <c r="L146" s="3">
        <v>37</v>
      </c>
      <c r="M146" s="3" t="str" cm="1">
        <f t="array" ref="M146">_xlfn.IFS(
L146&gt;=65,"Retirement Age",
AND(L146&lt;65,L146&gt;=40),"Middle Aged",
AND(L146&lt;40,L146&gt;=30),"In the 30s",
L146&lt;30,"Below 30")</f>
        <v>In the 30s</v>
      </c>
      <c r="N146" t="s">
        <v>15</v>
      </c>
    </row>
    <row r="147" spans="1:14" x14ac:dyDescent="0.25">
      <c r="A147">
        <v>20729</v>
      </c>
      <c r="B147" t="s">
        <v>36</v>
      </c>
      <c r="C147" t="s">
        <v>39</v>
      </c>
      <c r="D147" s="1">
        <v>40000</v>
      </c>
      <c r="E147" s="3">
        <v>2</v>
      </c>
      <c r="F147" t="s">
        <v>19</v>
      </c>
      <c r="G147" t="s">
        <v>20</v>
      </c>
      <c r="H147" t="s">
        <v>18</v>
      </c>
      <c r="I147" s="3">
        <v>1</v>
      </c>
      <c r="J147" t="s">
        <v>16</v>
      </c>
      <c r="K147" t="s">
        <v>17</v>
      </c>
      <c r="L147" s="3">
        <v>34</v>
      </c>
      <c r="M147" s="3" t="str" cm="1">
        <f t="array" ref="M147">_xlfn.IFS(
L147&gt;=65,"Retirement Age",
AND(L147&lt;65,L147&gt;=40),"Middle Aged",
AND(L147&lt;40,L147&gt;=30),"In the 30s",
L147&lt;30,"Below 30")</f>
        <v>In the 30s</v>
      </c>
      <c r="N147" t="s">
        <v>18</v>
      </c>
    </row>
    <row r="148" spans="1:14" x14ac:dyDescent="0.25">
      <c r="A148">
        <v>22464</v>
      </c>
      <c r="B148" t="s">
        <v>36</v>
      </c>
      <c r="C148" t="s">
        <v>38</v>
      </c>
      <c r="D148" s="1">
        <v>40000</v>
      </c>
      <c r="E148" s="3">
        <v>0</v>
      </c>
      <c r="F148" t="s">
        <v>31</v>
      </c>
      <c r="G148" t="s">
        <v>20</v>
      </c>
      <c r="H148" t="s">
        <v>15</v>
      </c>
      <c r="I148" s="3">
        <v>0</v>
      </c>
      <c r="J148" t="s">
        <v>16</v>
      </c>
      <c r="K148" t="s">
        <v>17</v>
      </c>
      <c r="L148" s="3">
        <v>37</v>
      </c>
      <c r="M148" s="3" t="str" cm="1">
        <f t="array" ref="M148">_xlfn.IFS(
L148&gt;=65,"Retirement Age",
AND(L148&lt;65,L148&gt;=40),"Middle Aged",
AND(L148&lt;40,L148&gt;=30),"In the 30s",
L148&lt;30,"Below 30")</f>
        <v>In the 30s</v>
      </c>
      <c r="N148" t="s">
        <v>15</v>
      </c>
    </row>
    <row r="149" spans="1:14" x14ac:dyDescent="0.25">
      <c r="A149">
        <v>19475</v>
      </c>
      <c r="B149" t="s">
        <v>36</v>
      </c>
      <c r="C149" t="s">
        <v>39</v>
      </c>
      <c r="D149" s="1">
        <v>40000</v>
      </c>
      <c r="E149" s="3">
        <v>0</v>
      </c>
      <c r="F149" t="s">
        <v>13</v>
      </c>
      <c r="G149" t="s">
        <v>21</v>
      </c>
      <c r="H149" t="s">
        <v>18</v>
      </c>
      <c r="I149" s="3">
        <v>0</v>
      </c>
      <c r="J149" t="s">
        <v>16</v>
      </c>
      <c r="K149" t="s">
        <v>17</v>
      </c>
      <c r="L149" s="3">
        <v>40</v>
      </c>
      <c r="M149" s="3" t="str" cm="1">
        <f t="array" ref="M149">_xlfn.IFS(
L149&gt;=65,"Retirement Age",
AND(L149&lt;65,L149&gt;=40),"Middle Aged",
AND(L149&lt;40,L149&gt;=30),"In the 30s",
L149&lt;30,"Below 30")</f>
        <v>Middle Aged</v>
      </c>
      <c r="N149" t="s">
        <v>15</v>
      </c>
    </row>
    <row r="150" spans="1:14" x14ac:dyDescent="0.25">
      <c r="A150">
        <v>19675</v>
      </c>
      <c r="B150" t="s">
        <v>36</v>
      </c>
      <c r="C150" t="s">
        <v>38</v>
      </c>
      <c r="D150" s="1">
        <v>20000</v>
      </c>
      <c r="E150" s="3">
        <v>4</v>
      </c>
      <c r="F150" t="s">
        <v>27</v>
      </c>
      <c r="G150" t="s">
        <v>14</v>
      </c>
      <c r="H150" t="s">
        <v>15</v>
      </c>
      <c r="I150" s="3">
        <v>2</v>
      </c>
      <c r="J150" t="s">
        <v>23</v>
      </c>
      <c r="K150" t="s">
        <v>24</v>
      </c>
      <c r="L150" s="3">
        <v>60</v>
      </c>
      <c r="M150" s="3" t="str" cm="1">
        <f t="array" ref="M150">_xlfn.IFS(
L150&gt;=65,"Retirement Age",
AND(L150&lt;65,L150&gt;=40),"Middle Aged",
AND(L150&lt;40,L150&gt;=30),"In the 30s",
L150&lt;30,"Below 30")</f>
        <v>Middle Aged</v>
      </c>
      <c r="N150" t="s">
        <v>18</v>
      </c>
    </row>
    <row r="151" spans="1:14" x14ac:dyDescent="0.25">
      <c r="A151">
        <v>12728</v>
      </c>
      <c r="B151" t="s">
        <v>37</v>
      </c>
      <c r="C151" t="s">
        <v>38</v>
      </c>
      <c r="D151" s="1">
        <v>30000</v>
      </c>
      <c r="E151" s="3">
        <v>0</v>
      </c>
      <c r="F151" t="s">
        <v>19</v>
      </c>
      <c r="G151" t="s">
        <v>20</v>
      </c>
      <c r="H151" t="s">
        <v>18</v>
      </c>
      <c r="I151" s="3">
        <v>1</v>
      </c>
      <c r="J151" t="s">
        <v>26</v>
      </c>
      <c r="K151" t="s">
        <v>17</v>
      </c>
      <c r="L151" s="3">
        <v>27</v>
      </c>
      <c r="M151" s="3" t="str" cm="1">
        <f t="array" ref="M151">_xlfn.IFS(
L151&gt;=65,"Retirement Age",
AND(L151&lt;65,L151&gt;=40),"Middle Aged",
AND(L151&lt;40,L151&gt;=30),"In the 30s",
L151&lt;30,"Below 30")</f>
        <v>Below 30</v>
      </c>
      <c r="N151" t="s">
        <v>18</v>
      </c>
    </row>
    <row r="152" spans="1:14" x14ac:dyDescent="0.25">
      <c r="A152">
        <v>26154</v>
      </c>
      <c r="B152" t="s">
        <v>36</v>
      </c>
      <c r="C152" t="s">
        <v>38</v>
      </c>
      <c r="D152" s="1">
        <v>60000</v>
      </c>
      <c r="E152" s="3">
        <v>1</v>
      </c>
      <c r="F152" t="s">
        <v>19</v>
      </c>
      <c r="G152" t="s">
        <v>14</v>
      </c>
      <c r="H152" t="s">
        <v>15</v>
      </c>
      <c r="I152" s="3">
        <v>1</v>
      </c>
      <c r="J152" t="s">
        <v>23</v>
      </c>
      <c r="K152" t="s">
        <v>24</v>
      </c>
      <c r="L152" s="3">
        <v>43</v>
      </c>
      <c r="M152" s="3" t="str" cm="1">
        <f t="array" ref="M152">_xlfn.IFS(
L152&gt;=65,"Retirement Age",
AND(L152&lt;65,L152&gt;=40),"Middle Aged",
AND(L152&lt;40,L152&gt;=30),"In the 30s",
L152&lt;30,"Below 30")</f>
        <v>Middle Aged</v>
      </c>
      <c r="N152" t="s">
        <v>15</v>
      </c>
    </row>
    <row r="153" spans="1:14" x14ac:dyDescent="0.25">
      <c r="A153">
        <v>29117</v>
      </c>
      <c r="B153" t="s">
        <v>37</v>
      </c>
      <c r="C153" t="s">
        <v>38</v>
      </c>
      <c r="D153" s="1">
        <v>100000</v>
      </c>
      <c r="E153" s="3">
        <v>1</v>
      </c>
      <c r="F153" t="s">
        <v>13</v>
      </c>
      <c r="G153" t="s">
        <v>28</v>
      </c>
      <c r="H153" t="s">
        <v>18</v>
      </c>
      <c r="I153" s="3">
        <v>3</v>
      </c>
      <c r="J153" t="s">
        <v>16</v>
      </c>
      <c r="K153" t="s">
        <v>24</v>
      </c>
      <c r="L153" s="3">
        <v>48</v>
      </c>
      <c r="M153" s="3" t="str" cm="1">
        <f t="array" ref="M153">_xlfn.IFS(
L153&gt;=65,"Retirement Age",
AND(L153&lt;65,L153&gt;=40),"Middle Aged",
AND(L153&lt;40,L153&gt;=30),"In the 30s",
L153&lt;30,"Below 30")</f>
        <v>Middle Aged</v>
      </c>
      <c r="N153" t="s">
        <v>18</v>
      </c>
    </row>
    <row r="154" spans="1:14" x14ac:dyDescent="0.25">
      <c r="A154">
        <v>17845</v>
      </c>
      <c r="B154" t="s">
        <v>37</v>
      </c>
      <c r="C154" t="s">
        <v>39</v>
      </c>
      <c r="D154" s="1">
        <v>20000</v>
      </c>
      <c r="E154" s="3">
        <v>0</v>
      </c>
      <c r="F154" t="s">
        <v>29</v>
      </c>
      <c r="G154" t="s">
        <v>25</v>
      </c>
      <c r="H154" t="s">
        <v>18</v>
      </c>
      <c r="I154" s="3">
        <v>2</v>
      </c>
      <c r="J154" t="s">
        <v>26</v>
      </c>
      <c r="K154" t="s">
        <v>17</v>
      </c>
      <c r="L154" s="3">
        <v>32</v>
      </c>
      <c r="M154" s="3" t="str" cm="1">
        <f t="array" ref="M154">_xlfn.IFS(
L154&gt;=65,"Retirement Age",
AND(L154&lt;65,L154&gt;=40),"Middle Aged",
AND(L154&lt;40,L154&gt;=30),"In the 30s",
L154&lt;30,"Below 30")</f>
        <v>In the 30s</v>
      </c>
      <c r="N154" t="s">
        <v>18</v>
      </c>
    </row>
    <row r="155" spans="1:14" x14ac:dyDescent="0.25">
      <c r="A155">
        <v>25058</v>
      </c>
      <c r="B155" t="s">
        <v>36</v>
      </c>
      <c r="C155" t="s">
        <v>38</v>
      </c>
      <c r="D155" s="1">
        <v>100000</v>
      </c>
      <c r="E155" s="3">
        <v>1</v>
      </c>
      <c r="F155" t="s">
        <v>13</v>
      </c>
      <c r="G155" t="s">
        <v>28</v>
      </c>
      <c r="H155" t="s">
        <v>15</v>
      </c>
      <c r="I155" s="3">
        <v>3</v>
      </c>
      <c r="J155" t="s">
        <v>22</v>
      </c>
      <c r="K155" t="s">
        <v>24</v>
      </c>
      <c r="L155" s="3">
        <v>47</v>
      </c>
      <c r="M155" s="3" t="str" cm="1">
        <f t="array" ref="M155">_xlfn.IFS(
L155&gt;=65,"Retirement Age",
AND(L155&lt;65,L155&gt;=40),"Middle Aged",
AND(L155&lt;40,L155&gt;=30),"In the 30s",
L155&lt;30,"Below 30")</f>
        <v>Middle Aged</v>
      </c>
      <c r="N155" t="s">
        <v>18</v>
      </c>
    </row>
    <row r="156" spans="1:14" x14ac:dyDescent="0.25">
      <c r="A156">
        <v>23426</v>
      </c>
      <c r="B156" t="s">
        <v>37</v>
      </c>
      <c r="C156" t="s">
        <v>38</v>
      </c>
      <c r="D156" s="1">
        <v>80000</v>
      </c>
      <c r="E156" s="3">
        <v>5</v>
      </c>
      <c r="F156" t="s">
        <v>31</v>
      </c>
      <c r="G156" t="s">
        <v>28</v>
      </c>
      <c r="H156" t="s">
        <v>15</v>
      </c>
      <c r="I156" s="3">
        <v>3</v>
      </c>
      <c r="J156" t="s">
        <v>16</v>
      </c>
      <c r="K156" t="s">
        <v>24</v>
      </c>
      <c r="L156" s="3">
        <v>40</v>
      </c>
      <c r="M156" s="3" t="str" cm="1">
        <f t="array" ref="M156">_xlfn.IFS(
L156&gt;=65,"Retirement Age",
AND(L156&lt;65,L156&gt;=40),"Middle Aged",
AND(L156&lt;40,L156&gt;=30),"In the 30s",
L156&lt;30,"Below 30")</f>
        <v>Middle Aged</v>
      </c>
      <c r="N156" t="s">
        <v>18</v>
      </c>
    </row>
    <row r="157" spans="1:14" x14ac:dyDescent="0.25">
      <c r="A157">
        <v>14798</v>
      </c>
      <c r="B157" t="s">
        <v>37</v>
      </c>
      <c r="C157" t="s">
        <v>39</v>
      </c>
      <c r="D157" s="1">
        <v>10000</v>
      </c>
      <c r="E157" s="3">
        <v>4</v>
      </c>
      <c r="F157" t="s">
        <v>29</v>
      </c>
      <c r="G157" t="s">
        <v>25</v>
      </c>
      <c r="H157" t="s">
        <v>15</v>
      </c>
      <c r="I157" s="3">
        <v>2</v>
      </c>
      <c r="J157" t="s">
        <v>16</v>
      </c>
      <c r="K157" t="s">
        <v>17</v>
      </c>
      <c r="L157" s="3">
        <v>41</v>
      </c>
      <c r="M157" s="3" t="str" cm="1">
        <f t="array" ref="M157">_xlfn.IFS(
L157&gt;=65,"Retirement Age",
AND(L157&lt;65,L157&gt;=40),"Middle Aged",
AND(L157&lt;40,L157&gt;=30),"In the 30s",
L157&lt;30,"Below 30")</f>
        <v>Middle Aged</v>
      </c>
      <c r="N157" t="s">
        <v>15</v>
      </c>
    </row>
    <row r="158" spans="1:14" x14ac:dyDescent="0.25">
      <c r="A158">
        <v>12664</v>
      </c>
      <c r="B158" t="s">
        <v>36</v>
      </c>
      <c r="C158" t="s">
        <v>39</v>
      </c>
      <c r="D158" s="1">
        <v>130000</v>
      </c>
      <c r="E158" s="3">
        <v>5</v>
      </c>
      <c r="F158" t="s">
        <v>19</v>
      </c>
      <c r="G158" t="s">
        <v>21</v>
      </c>
      <c r="H158" t="s">
        <v>15</v>
      </c>
      <c r="I158" s="3">
        <v>4</v>
      </c>
      <c r="J158" t="s">
        <v>16</v>
      </c>
      <c r="K158" t="s">
        <v>17</v>
      </c>
      <c r="L158" s="3">
        <v>59</v>
      </c>
      <c r="M158" s="3" t="str" cm="1">
        <f t="array" ref="M158">_xlfn.IFS(
L158&gt;=65,"Retirement Age",
AND(L158&lt;65,L158&gt;=40),"Middle Aged",
AND(L158&lt;40,L158&gt;=30),"In the 30s",
L158&lt;30,"Below 30")</f>
        <v>Middle Aged</v>
      </c>
      <c r="N158" t="s">
        <v>18</v>
      </c>
    </row>
    <row r="159" spans="1:14" x14ac:dyDescent="0.25">
      <c r="A159">
        <v>23979</v>
      </c>
      <c r="B159" t="s">
        <v>37</v>
      </c>
      <c r="C159" t="s">
        <v>38</v>
      </c>
      <c r="D159" s="1">
        <v>10000</v>
      </c>
      <c r="E159" s="3">
        <v>2</v>
      </c>
      <c r="F159" t="s">
        <v>19</v>
      </c>
      <c r="G159" t="s">
        <v>25</v>
      </c>
      <c r="H159" t="s">
        <v>18</v>
      </c>
      <c r="I159" s="3">
        <v>0</v>
      </c>
      <c r="J159" t="s">
        <v>16</v>
      </c>
      <c r="K159" t="s">
        <v>17</v>
      </c>
      <c r="L159" s="3">
        <v>50</v>
      </c>
      <c r="M159" s="3" t="str" cm="1">
        <f t="array" ref="M159">_xlfn.IFS(
L159&gt;=65,"Retirement Age",
AND(L159&lt;65,L159&gt;=40),"Middle Aged",
AND(L159&lt;40,L159&gt;=30),"In the 30s",
L159&lt;30,"Below 30")</f>
        <v>Middle Aged</v>
      </c>
      <c r="N159" t="s">
        <v>18</v>
      </c>
    </row>
    <row r="160" spans="1:14" x14ac:dyDescent="0.25">
      <c r="A160">
        <v>25605</v>
      </c>
      <c r="B160" t="s">
        <v>37</v>
      </c>
      <c r="C160" t="s">
        <v>39</v>
      </c>
      <c r="D160" s="1">
        <v>20000</v>
      </c>
      <c r="E160" s="3">
        <v>2</v>
      </c>
      <c r="F160" t="s">
        <v>19</v>
      </c>
      <c r="G160" t="s">
        <v>25</v>
      </c>
      <c r="H160" t="s">
        <v>18</v>
      </c>
      <c r="I160" s="3">
        <v>1</v>
      </c>
      <c r="J160" t="s">
        <v>16</v>
      </c>
      <c r="K160" t="s">
        <v>17</v>
      </c>
      <c r="L160" s="3">
        <v>54</v>
      </c>
      <c r="M160" s="3" t="str" cm="1">
        <f t="array" ref="M160">_xlfn.IFS(
L160&gt;=65,"Retirement Age",
AND(L160&lt;65,L160&gt;=40),"Middle Aged",
AND(L160&lt;40,L160&gt;=30),"In the 30s",
L160&lt;30,"Below 30")</f>
        <v>Middle Aged</v>
      </c>
      <c r="N160" t="s">
        <v>15</v>
      </c>
    </row>
    <row r="161" spans="1:14" x14ac:dyDescent="0.25">
      <c r="A161">
        <v>20797</v>
      </c>
      <c r="B161" t="s">
        <v>36</v>
      </c>
      <c r="C161" t="s">
        <v>39</v>
      </c>
      <c r="D161" s="1">
        <v>10000</v>
      </c>
      <c r="E161" s="3">
        <v>1</v>
      </c>
      <c r="F161" t="s">
        <v>13</v>
      </c>
      <c r="G161" t="s">
        <v>25</v>
      </c>
      <c r="H161" t="s">
        <v>15</v>
      </c>
      <c r="I161" s="3">
        <v>0</v>
      </c>
      <c r="J161" t="s">
        <v>16</v>
      </c>
      <c r="K161" t="s">
        <v>17</v>
      </c>
      <c r="L161" s="3">
        <v>48</v>
      </c>
      <c r="M161" s="3" t="str" cm="1">
        <f t="array" ref="M161">_xlfn.IFS(
L161&gt;=65,"Retirement Age",
AND(L161&lt;65,L161&gt;=40),"Middle Aged",
AND(L161&lt;40,L161&gt;=30),"In the 30s",
L161&lt;30,"Below 30")</f>
        <v>Middle Aged</v>
      </c>
      <c r="N161" t="s">
        <v>18</v>
      </c>
    </row>
    <row r="162" spans="1:14" x14ac:dyDescent="0.25">
      <c r="A162">
        <v>21980</v>
      </c>
      <c r="B162" t="s">
        <v>37</v>
      </c>
      <c r="C162" t="s">
        <v>39</v>
      </c>
      <c r="D162" s="1">
        <v>60000</v>
      </c>
      <c r="E162" s="3">
        <v>1</v>
      </c>
      <c r="F162" t="s">
        <v>13</v>
      </c>
      <c r="G162" t="s">
        <v>21</v>
      </c>
      <c r="H162" t="s">
        <v>15</v>
      </c>
      <c r="I162" s="3">
        <v>1</v>
      </c>
      <c r="J162" t="s">
        <v>23</v>
      </c>
      <c r="K162" t="s">
        <v>24</v>
      </c>
      <c r="L162" s="3">
        <v>44</v>
      </c>
      <c r="M162" s="3" t="str" cm="1">
        <f t="array" ref="M162">_xlfn.IFS(
L162&gt;=65,"Retirement Age",
AND(L162&lt;65,L162&gt;=40),"Middle Aged",
AND(L162&lt;40,L162&gt;=30),"In the 30s",
L162&lt;30,"Below 30")</f>
        <v>Middle Aged</v>
      </c>
      <c r="N162" t="s">
        <v>15</v>
      </c>
    </row>
    <row r="163" spans="1:14" x14ac:dyDescent="0.25">
      <c r="A163">
        <v>25460</v>
      </c>
      <c r="B163" t="s">
        <v>36</v>
      </c>
      <c r="C163" t="s">
        <v>39</v>
      </c>
      <c r="D163" s="1">
        <v>20000</v>
      </c>
      <c r="E163" s="3">
        <v>2</v>
      </c>
      <c r="F163" t="s">
        <v>27</v>
      </c>
      <c r="G163" t="s">
        <v>25</v>
      </c>
      <c r="H163" t="s">
        <v>15</v>
      </c>
      <c r="I163" s="3">
        <v>0</v>
      </c>
      <c r="J163" t="s">
        <v>16</v>
      </c>
      <c r="K163" t="s">
        <v>17</v>
      </c>
      <c r="L163" s="3">
        <v>40</v>
      </c>
      <c r="M163" s="3" t="str" cm="1">
        <f t="array" ref="M163">_xlfn.IFS(
L163&gt;=65,"Retirement Age",
AND(L163&lt;65,L163&gt;=40),"Middle Aged",
AND(L163&lt;40,L163&gt;=30),"In the 30s",
L163&lt;30,"Below 30")</f>
        <v>Middle Aged</v>
      </c>
      <c r="N163" t="s">
        <v>15</v>
      </c>
    </row>
    <row r="164" spans="1:14" x14ac:dyDescent="0.25">
      <c r="A164">
        <v>29181</v>
      </c>
      <c r="B164" t="s">
        <v>37</v>
      </c>
      <c r="C164" t="s">
        <v>39</v>
      </c>
      <c r="D164" s="1">
        <v>60000</v>
      </c>
      <c r="E164" s="3">
        <v>2</v>
      </c>
      <c r="F164" t="s">
        <v>13</v>
      </c>
      <c r="G164" t="s">
        <v>21</v>
      </c>
      <c r="H164" t="s">
        <v>18</v>
      </c>
      <c r="I164" s="3">
        <v>1</v>
      </c>
      <c r="J164" t="s">
        <v>16</v>
      </c>
      <c r="K164" t="s">
        <v>24</v>
      </c>
      <c r="L164" s="3">
        <v>38</v>
      </c>
      <c r="M164" s="3" t="str" cm="1">
        <f t="array" ref="M164">_xlfn.IFS(
L164&gt;=65,"Retirement Age",
AND(L164&lt;65,L164&gt;=40),"Middle Aged",
AND(L164&lt;40,L164&gt;=30),"In the 30s",
L164&lt;30,"Below 30")</f>
        <v>In the 30s</v>
      </c>
      <c r="N164" t="s">
        <v>15</v>
      </c>
    </row>
    <row r="165" spans="1:14" x14ac:dyDescent="0.25">
      <c r="A165">
        <v>24279</v>
      </c>
      <c r="B165" t="s">
        <v>37</v>
      </c>
      <c r="C165" t="s">
        <v>38</v>
      </c>
      <c r="D165" s="1">
        <v>40000</v>
      </c>
      <c r="E165" s="3">
        <v>2</v>
      </c>
      <c r="F165" t="s">
        <v>19</v>
      </c>
      <c r="G165" t="s">
        <v>14</v>
      </c>
      <c r="H165" t="s">
        <v>18</v>
      </c>
      <c r="I165" s="3">
        <v>2</v>
      </c>
      <c r="J165" t="s">
        <v>26</v>
      </c>
      <c r="K165" t="s">
        <v>24</v>
      </c>
      <c r="L165" s="3">
        <v>52</v>
      </c>
      <c r="M165" s="3" t="str" cm="1">
        <f t="array" ref="M165">_xlfn.IFS(
L165&gt;=65,"Retirement Age",
AND(L165&lt;65,L165&gt;=40),"Middle Aged",
AND(L165&lt;40,L165&gt;=30),"In the 30s",
L165&lt;30,"Below 30")</f>
        <v>Middle Aged</v>
      </c>
      <c r="N165" t="s">
        <v>18</v>
      </c>
    </row>
    <row r="166" spans="1:14" x14ac:dyDescent="0.25">
      <c r="A166">
        <v>22402</v>
      </c>
      <c r="B166" t="s">
        <v>36</v>
      </c>
      <c r="C166" t="s">
        <v>38</v>
      </c>
      <c r="D166" s="1">
        <v>10000</v>
      </c>
      <c r="E166" s="3">
        <v>0</v>
      </c>
      <c r="F166" t="s">
        <v>19</v>
      </c>
      <c r="G166" t="s">
        <v>25</v>
      </c>
      <c r="H166" t="s">
        <v>15</v>
      </c>
      <c r="I166" s="3">
        <v>1</v>
      </c>
      <c r="J166" t="s">
        <v>22</v>
      </c>
      <c r="K166" t="s">
        <v>24</v>
      </c>
      <c r="L166" s="3">
        <v>25</v>
      </c>
      <c r="M166" s="3" t="str" cm="1">
        <f t="array" ref="M166">_xlfn.IFS(
L166&gt;=65,"Retirement Age",
AND(L166&lt;65,L166&gt;=40),"Middle Aged",
AND(L166&lt;40,L166&gt;=30),"In the 30s",
L166&lt;30,"Below 30")</f>
        <v>Below 30</v>
      </c>
      <c r="N166" t="s">
        <v>15</v>
      </c>
    </row>
    <row r="167" spans="1:14" x14ac:dyDescent="0.25">
      <c r="A167">
        <v>15465</v>
      </c>
      <c r="B167" t="s">
        <v>36</v>
      </c>
      <c r="C167" t="s">
        <v>39</v>
      </c>
      <c r="D167" s="1">
        <v>10000</v>
      </c>
      <c r="E167" s="3">
        <v>0</v>
      </c>
      <c r="F167" t="s">
        <v>19</v>
      </c>
      <c r="G167" t="s">
        <v>25</v>
      </c>
      <c r="H167" t="s">
        <v>18</v>
      </c>
      <c r="I167" s="3">
        <v>1</v>
      </c>
      <c r="J167" t="s">
        <v>16</v>
      </c>
      <c r="K167" t="s">
        <v>24</v>
      </c>
      <c r="L167" s="3">
        <v>25</v>
      </c>
      <c r="M167" s="3" t="str" cm="1">
        <f t="array" ref="M167">_xlfn.IFS(
L167&gt;=65,"Retirement Age",
AND(L167&lt;65,L167&gt;=40),"Middle Aged",
AND(L167&lt;40,L167&gt;=30),"In the 30s",
L167&lt;30,"Below 30")</f>
        <v>Below 30</v>
      </c>
      <c r="N167" t="s">
        <v>18</v>
      </c>
    </row>
    <row r="168" spans="1:14" x14ac:dyDescent="0.25">
      <c r="A168">
        <v>26757</v>
      </c>
      <c r="B168" t="s">
        <v>37</v>
      </c>
      <c r="C168" t="s">
        <v>38</v>
      </c>
      <c r="D168" s="1">
        <v>90000</v>
      </c>
      <c r="E168" s="3">
        <v>1</v>
      </c>
      <c r="F168" t="s">
        <v>13</v>
      </c>
      <c r="G168" t="s">
        <v>21</v>
      </c>
      <c r="H168" t="s">
        <v>15</v>
      </c>
      <c r="I168" s="3">
        <v>1</v>
      </c>
      <c r="J168" t="s">
        <v>22</v>
      </c>
      <c r="K168" t="s">
        <v>24</v>
      </c>
      <c r="L168" s="3">
        <v>47</v>
      </c>
      <c r="M168" s="3" t="str" cm="1">
        <f t="array" ref="M168">_xlfn.IFS(
L168&gt;=65,"Retirement Age",
AND(L168&lt;65,L168&gt;=40),"Middle Aged",
AND(L168&lt;40,L168&gt;=30),"In the 30s",
L168&lt;30,"Below 30")</f>
        <v>Middle Aged</v>
      </c>
      <c r="N168" t="s">
        <v>15</v>
      </c>
    </row>
    <row r="169" spans="1:14" x14ac:dyDescent="0.25">
      <c r="A169">
        <v>14233</v>
      </c>
      <c r="B169" t="s">
        <v>37</v>
      </c>
      <c r="C169" t="s">
        <v>38</v>
      </c>
      <c r="D169" s="1">
        <v>100000</v>
      </c>
      <c r="E169" s="3">
        <v>0</v>
      </c>
      <c r="F169" t="s">
        <v>27</v>
      </c>
      <c r="G169" t="s">
        <v>28</v>
      </c>
      <c r="H169" t="s">
        <v>15</v>
      </c>
      <c r="I169" s="3">
        <v>3</v>
      </c>
      <c r="J169" t="s">
        <v>45</v>
      </c>
      <c r="K169" t="s">
        <v>24</v>
      </c>
      <c r="L169" s="3">
        <v>35</v>
      </c>
      <c r="M169" s="3" t="str" cm="1">
        <f t="array" ref="M169">_xlfn.IFS(
L169&gt;=65,"Retirement Age",
AND(L169&lt;65,L169&gt;=40),"Middle Aged",
AND(L169&lt;40,L169&gt;=30),"In the 30s",
L169&lt;30,"Below 30")</f>
        <v>In the 30s</v>
      </c>
      <c r="N169" t="s">
        <v>18</v>
      </c>
    </row>
    <row r="170" spans="1:14" x14ac:dyDescent="0.25">
      <c r="A170">
        <v>14058</v>
      </c>
      <c r="B170" t="s">
        <v>37</v>
      </c>
      <c r="C170" t="s">
        <v>38</v>
      </c>
      <c r="D170" s="1">
        <v>70000</v>
      </c>
      <c r="E170" s="3">
        <v>0</v>
      </c>
      <c r="F170" t="s">
        <v>13</v>
      </c>
      <c r="G170" t="s">
        <v>21</v>
      </c>
      <c r="H170" t="s">
        <v>18</v>
      </c>
      <c r="I170" s="3">
        <v>1</v>
      </c>
      <c r="J170" t="s">
        <v>23</v>
      </c>
      <c r="K170" t="s">
        <v>24</v>
      </c>
      <c r="L170" s="3">
        <v>41</v>
      </c>
      <c r="M170" s="3" t="str" cm="1">
        <f t="array" ref="M170">_xlfn.IFS(
L170&gt;=65,"Retirement Age",
AND(L170&lt;65,L170&gt;=40),"Middle Aged",
AND(L170&lt;40,L170&gt;=30),"In the 30s",
L170&lt;30,"Below 30")</f>
        <v>Middle Aged</v>
      </c>
      <c r="N170" t="s">
        <v>15</v>
      </c>
    </row>
    <row r="171" spans="1:14" x14ac:dyDescent="0.25">
      <c r="A171">
        <v>12273</v>
      </c>
      <c r="B171" t="s">
        <v>36</v>
      </c>
      <c r="C171" t="s">
        <v>38</v>
      </c>
      <c r="D171" s="1">
        <v>30000</v>
      </c>
      <c r="E171" s="3">
        <v>1</v>
      </c>
      <c r="F171" t="s">
        <v>13</v>
      </c>
      <c r="G171" t="s">
        <v>20</v>
      </c>
      <c r="H171" t="s">
        <v>15</v>
      </c>
      <c r="I171" s="3">
        <v>0</v>
      </c>
      <c r="J171" t="s">
        <v>16</v>
      </c>
      <c r="K171" t="s">
        <v>17</v>
      </c>
      <c r="L171" s="3">
        <v>47</v>
      </c>
      <c r="M171" s="3" t="str" cm="1">
        <f t="array" ref="M171">_xlfn.IFS(
L171&gt;=65,"Retirement Age",
AND(L171&lt;65,L171&gt;=40),"Middle Aged",
AND(L171&lt;40,L171&gt;=30),"In the 30s",
L171&lt;30,"Below 30")</f>
        <v>Middle Aged</v>
      </c>
      <c r="N171" t="s">
        <v>18</v>
      </c>
    </row>
    <row r="172" spans="1:14" x14ac:dyDescent="0.25">
      <c r="A172">
        <v>17203</v>
      </c>
      <c r="B172" t="s">
        <v>36</v>
      </c>
      <c r="C172" t="s">
        <v>39</v>
      </c>
      <c r="D172" s="1">
        <v>130000</v>
      </c>
      <c r="E172" s="3">
        <v>4</v>
      </c>
      <c r="F172" t="s">
        <v>19</v>
      </c>
      <c r="G172" t="s">
        <v>21</v>
      </c>
      <c r="H172" t="s">
        <v>15</v>
      </c>
      <c r="I172" s="3">
        <v>4</v>
      </c>
      <c r="J172" t="s">
        <v>23</v>
      </c>
      <c r="K172" t="s">
        <v>17</v>
      </c>
      <c r="L172" s="3">
        <v>61</v>
      </c>
      <c r="M172" s="3" t="str" cm="1">
        <f t="array" ref="M172">_xlfn.IFS(
L172&gt;=65,"Retirement Age",
AND(L172&lt;65,L172&gt;=40),"Middle Aged",
AND(L172&lt;40,L172&gt;=30),"In the 30s",
L172&lt;30,"Below 30")</f>
        <v>Middle Aged</v>
      </c>
      <c r="N172" t="s">
        <v>15</v>
      </c>
    </row>
    <row r="173" spans="1:14" x14ac:dyDescent="0.25">
      <c r="A173">
        <v>18144</v>
      </c>
      <c r="B173" t="s">
        <v>36</v>
      </c>
      <c r="C173" t="s">
        <v>39</v>
      </c>
      <c r="D173" s="1">
        <v>80000</v>
      </c>
      <c r="E173" s="3">
        <v>5</v>
      </c>
      <c r="F173" t="s">
        <v>13</v>
      </c>
      <c r="G173" t="s">
        <v>28</v>
      </c>
      <c r="H173" t="s">
        <v>15</v>
      </c>
      <c r="I173" s="3">
        <v>2</v>
      </c>
      <c r="J173" t="s">
        <v>22</v>
      </c>
      <c r="K173" t="s">
        <v>17</v>
      </c>
      <c r="L173" s="3">
        <v>61</v>
      </c>
      <c r="M173" s="3" t="str" cm="1">
        <f t="array" ref="M173">_xlfn.IFS(
L173&gt;=65,"Retirement Age",
AND(L173&lt;65,L173&gt;=40),"Middle Aged",
AND(L173&lt;40,L173&gt;=30),"In the 30s",
L173&lt;30,"Below 30")</f>
        <v>Middle Aged</v>
      </c>
      <c r="N173" t="s">
        <v>18</v>
      </c>
    </row>
    <row r="174" spans="1:14" x14ac:dyDescent="0.25">
      <c r="A174">
        <v>23963</v>
      </c>
      <c r="B174" t="s">
        <v>36</v>
      </c>
      <c r="C174" t="s">
        <v>38</v>
      </c>
      <c r="D174" s="1">
        <v>10000</v>
      </c>
      <c r="E174" s="3">
        <v>0</v>
      </c>
      <c r="F174" t="s">
        <v>29</v>
      </c>
      <c r="G174" t="s">
        <v>25</v>
      </c>
      <c r="H174" t="s">
        <v>18</v>
      </c>
      <c r="I174" s="3">
        <v>2</v>
      </c>
      <c r="J174" t="s">
        <v>16</v>
      </c>
      <c r="K174" t="s">
        <v>17</v>
      </c>
      <c r="L174" s="3">
        <v>33</v>
      </c>
      <c r="M174" s="3" t="str" cm="1">
        <f t="array" ref="M174">_xlfn.IFS(
L174&gt;=65,"Retirement Age",
AND(L174&lt;65,L174&gt;=40),"Middle Aged",
AND(L174&lt;40,L174&gt;=30),"In the 30s",
L174&lt;30,"Below 30")</f>
        <v>In the 30s</v>
      </c>
      <c r="N174" t="s">
        <v>18</v>
      </c>
    </row>
    <row r="175" spans="1:14" x14ac:dyDescent="0.25">
      <c r="A175">
        <v>17907</v>
      </c>
      <c r="B175" t="s">
        <v>36</v>
      </c>
      <c r="C175" t="s">
        <v>39</v>
      </c>
      <c r="D175" s="1">
        <v>10000</v>
      </c>
      <c r="E175" s="3">
        <v>0</v>
      </c>
      <c r="F175" t="s">
        <v>19</v>
      </c>
      <c r="G175" t="s">
        <v>25</v>
      </c>
      <c r="H175" t="s">
        <v>15</v>
      </c>
      <c r="I175" s="3">
        <v>1</v>
      </c>
      <c r="J175" t="s">
        <v>22</v>
      </c>
      <c r="K175" t="s">
        <v>24</v>
      </c>
      <c r="L175" s="3">
        <v>27</v>
      </c>
      <c r="M175" s="3" t="str" cm="1">
        <f t="array" ref="M175">_xlfn.IFS(
L175&gt;=65,"Retirement Age",
AND(L175&lt;65,L175&gt;=40),"Middle Aged",
AND(L175&lt;40,L175&gt;=30),"In the 30s",
L175&lt;30,"Below 30")</f>
        <v>Below 30</v>
      </c>
      <c r="N175" t="s">
        <v>18</v>
      </c>
    </row>
    <row r="176" spans="1:14" x14ac:dyDescent="0.25">
      <c r="A176">
        <v>19442</v>
      </c>
      <c r="B176" t="s">
        <v>37</v>
      </c>
      <c r="C176" t="s">
        <v>38</v>
      </c>
      <c r="D176" s="1">
        <v>50000</v>
      </c>
      <c r="E176" s="3">
        <v>0</v>
      </c>
      <c r="F176" t="s">
        <v>31</v>
      </c>
      <c r="G176" t="s">
        <v>14</v>
      </c>
      <c r="H176" t="s">
        <v>15</v>
      </c>
      <c r="I176" s="3">
        <v>0</v>
      </c>
      <c r="J176" t="s">
        <v>16</v>
      </c>
      <c r="K176" t="s">
        <v>17</v>
      </c>
      <c r="L176" s="3">
        <v>37</v>
      </c>
      <c r="M176" s="3" t="str" cm="1">
        <f t="array" ref="M176">_xlfn.IFS(
L176&gt;=65,"Retirement Age",
AND(L176&lt;65,L176&gt;=40),"Middle Aged",
AND(L176&lt;40,L176&gt;=30),"In the 30s",
L176&lt;30,"Below 30")</f>
        <v>In the 30s</v>
      </c>
      <c r="N176" t="s">
        <v>15</v>
      </c>
    </row>
    <row r="177" spans="1:14" x14ac:dyDescent="0.25">
      <c r="A177">
        <v>17504</v>
      </c>
      <c r="B177" t="s">
        <v>37</v>
      </c>
      <c r="C177" t="s">
        <v>39</v>
      </c>
      <c r="D177" s="1">
        <v>80000</v>
      </c>
      <c r="E177" s="3">
        <v>2</v>
      </c>
      <c r="F177" t="s">
        <v>19</v>
      </c>
      <c r="G177" t="s">
        <v>14</v>
      </c>
      <c r="H177" t="s">
        <v>15</v>
      </c>
      <c r="I177" s="3">
        <v>2</v>
      </c>
      <c r="J177" t="s">
        <v>23</v>
      </c>
      <c r="K177" t="s">
        <v>24</v>
      </c>
      <c r="L177" s="3">
        <v>52</v>
      </c>
      <c r="M177" s="3" t="str" cm="1">
        <f t="array" ref="M177">_xlfn.IFS(
L177&gt;=65,"Retirement Age",
AND(L177&lt;65,L177&gt;=40),"Middle Aged",
AND(L177&lt;40,L177&gt;=30),"In the 30s",
L177&lt;30,"Below 30")</f>
        <v>Middle Aged</v>
      </c>
      <c r="N177" t="s">
        <v>15</v>
      </c>
    </row>
    <row r="178" spans="1:14" x14ac:dyDescent="0.25">
      <c r="A178">
        <v>12253</v>
      </c>
      <c r="B178" t="s">
        <v>37</v>
      </c>
      <c r="C178" t="s">
        <v>39</v>
      </c>
      <c r="D178" s="1">
        <v>20000</v>
      </c>
      <c r="E178" s="3">
        <v>0</v>
      </c>
      <c r="F178" t="s">
        <v>19</v>
      </c>
      <c r="G178" t="s">
        <v>25</v>
      </c>
      <c r="H178" t="s">
        <v>15</v>
      </c>
      <c r="I178" s="3">
        <v>0</v>
      </c>
      <c r="J178" t="s">
        <v>16</v>
      </c>
      <c r="K178" t="s">
        <v>24</v>
      </c>
      <c r="L178" s="3">
        <v>29</v>
      </c>
      <c r="M178" s="3" t="str" cm="1">
        <f t="array" ref="M178">_xlfn.IFS(
L178&gt;=65,"Retirement Age",
AND(L178&lt;65,L178&gt;=40),"Middle Aged",
AND(L178&lt;40,L178&gt;=30),"In the 30s",
L178&lt;30,"Below 30")</f>
        <v>Below 30</v>
      </c>
      <c r="N178" t="s">
        <v>15</v>
      </c>
    </row>
    <row r="179" spans="1:14" x14ac:dyDescent="0.25">
      <c r="A179">
        <v>27304</v>
      </c>
      <c r="B179" t="s">
        <v>37</v>
      </c>
      <c r="C179" t="s">
        <v>39</v>
      </c>
      <c r="D179" s="1">
        <v>110000</v>
      </c>
      <c r="E179" s="3">
        <v>2</v>
      </c>
      <c r="F179" t="s">
        <v>19</v>
      </c>
      <c r="G179" t="s">
        <v>21</v>
      </c>
      <c r="H179" t="s">
        <v>18</v>
      </c>
      <c r="I179" s="3">
        <v>3</v>
      </c>
      <c r="J179" t="s">
        <v>23</v>
      </c>
      <c r="K179" t="s">
        <v>17</v>
      </c>
      <c r="L179" s="3">
        <v>48</v>
      </c>
      <c r="M179" s="3" t="str" cm="1">
        <f t="array" ref="M179">_xlfn.IFS(
L179&gt;=65,"Retirement Age",
AND(L179&lt;65,L179&gt;=40),"Middle Aged",
AND(L179&lt;40,L179&gt;=30),"In the 30s",
L179&lt;30,"Below 30")</f>
        <v>Middle Aged</v>
      </c>
      <c r="N179" t="s">
        <v>18</v>
      </c>
    </row>
    <row r="180" spans="1:14" x14ac:dyDescent="0.25">
      <c r="A180">
        <v>14191</v>
      </c>
      <c r="B180" t="s">
        <v>36</v>
      </c>
      <c r="C180" t="s">
        <v>38</v>
      </c>
      <c r="D180" s="1">
        <v>160000</v>
      </c>
      <c r="E180" s="3">
        <v>4</v>
      </c>
      <c r="F180" t="s">
        <v>19</v>
      </c>
      <c r="G180" t="s">
        <v>21</v>
      </c>
      <c r="H180" t="s">
        <v>18</v>
      </c>
      <c r="I180" s="3">
        <v>2</v>
      </c>
      <c r="J180" t="s">
        <v>45</v>
      </c>
      <c r="K180" t="s">
        <v>17</v>
      </c>
      <c r="L180" s="3">
        <v>55</v>
      </c>
      <c r="M180" s="3" t="str" cm="1">
        <f t="array" ref="M180">_xlfn.IFS(
L180&gt;=65,"Retirement Age",
AND(L180&lt;65,L180&gt;=40),"Middle Aged",
AND(L180&lt;40,L180&gt;=30),"In the 30s",
L180&lt;30,"Below 30")</f>
        <v>Middle Aged</v>
      </c>
      <c r="N180" t="s">
        <v>15</v>
      </c>
    </row>
    <row r="181" spans="1:14" x14ac:dyDescent="0.25">
      <c r="A181">
        <v>12212</v>
      </c>
      <c r="B181" t="s">
        <v>36</v>
      </c>
      <c r="C181" t="s">
        <v>39</v>
      </c>
      <c r="D181" s="1">
        <v>10000</v>
      </c>
      <c r="E181" s="3">
        <v>0</v>
      </c>
      <c r="F181" t="s">
        <v>31</v>
      </c>
      <c r="G181" t="s">
        <v>25</v>
      </c>
      <c r="H181" t="s">
        <v>15</v>
      </c>
      <c r="I181" s="3">
        <v>0</v>
      </c>
      <c r="J181" t="s">
        <v>16</v>
      </c>
      <c r="K181" t="s">
        <v>17</v>
      </c>
      <c r="L181" s="3">
        <v>37</v>
      </c>
      <c r="M181" s="3" t="str" cm="1">
        <f t="array" ref="M181">_xlfn.IFS(
L181&gt;=65,"Retirement Age",
AND(L181&lt;65,L181&gt;=40),"Middle Aged",
AND(L181&lt;40,L181&gt;=30),"In the 30s",
L181&lt;30,"Below 30")</f>
        <v>In the 30s</v>
      </c>
      <c r="N181" t="s">
        <v>15</v>
      </c>
    </row>
    <row r="182" spans="1:14" x14ac:dyDescent="0.25">
      <c r="A182">
        <v>25529</v>
      </c>
      <c r="B182" t="s">
        <v>37</v>
      </c>
      <c r="C182" t="s">
        <v>38</v>
      </c>
      <c r="D182" s="1">
        <v>10000</v>
      </c>
      <c r="E182" s="3">
        <v>1</v>
      </c>
      <c r="F182" t="s">
        <v>31</v>
      </c>
      <c r="G182" t="s">
        <v>25</v>
      </c>
      <c r="H182" t="s">
        <v>15</v>
      </c>
      <c r="I182" s="3">
        <v>0</v>
      </c>
      <c r="J182" t="s">
        <v>16</v>
      </c>
      <c r="K182" t="s">
        <v>17</v>
      </c>
      <c r="L182" s="3">
        <v>44</v>
      </c>
      <c r="M182" s="3" t="str" cm="1">
        <f t="array" ref="M182">_xlfn.IFS(
L182&gt;=65,"Retirement Age",
AND(L182&lt;65,L182&gt;=40),"Middle Aged",
AND(L182&lt;40,L182&gt;=30),"In the 30s",
L182&lt;30,"Below 30")</f>
        <v>Middle Aged</v>
      </c>
      <c r="N182" t="s">
        <v>18</v>
      </c>
    </row>
    <row r="183" spans="1:14" x14ac:dyDescent="0.25">
      <c r="A183">
        <v>22170</v>
      </c>
      <c r="B183" t="s">
        <v>36</v>
      </c>
      <c r="C183" t="s">
        <v>39</v>
      </c>
      <c r="D183" s="1">
        <v>30000</v>
      </c>
      <c r="E183" s="3">
        <v>3</v>
      </c>
      <c r="F183" t="s">
        <v>19</v>
      </c>
      <c r="G183" t="s">
        <v>20</v>
      </c>
      <c r="H183" t="s">
        <v>18</v>
      </c>
      <c r="I183" s="3">
        <v>2</v>
      </c>
      <c r="J183" t="s">
        <v>26</v>
      </c>
      <c r="K183" t="s">
        <v>24</v>
      </c>
      <c r="L183" s="3">
        <v>55</v>
      </c>
      <c r="M183" s="3" t="str" cm="1">
        <f t="array" ref="M183">_xlfn.IFS(
L183&gt;=65,"Retirement Age",
AND(L183&lt;65,L183&gt;=40),"Middle Aged",
AND(L183&lt;40,L183&gt;=30),"In the 30s",
L183&lt;30,"Below 30")</f>
        <v>Middle Aged</v>
      </c>
      <c r="N183" t="s">
        <v>15</v>
      </c>
    </row>
    <row r="184" spans="1:14" x14ac:dyDescent="0.25">
      <c r="A184">
        <v>19445</v>
      </c>
      <c r="B184" t="s">
        <v>36</v>
      </c>
      <c r="C184" t="s">
        <v>39</v>
      </c>
      <c r="D184" s="1">
        <v>10000</v>
      </c>
      <c r="E184" s="3">
        <v>2</v>
      </c>
      <c r="F184" t="s">
        <v>27</v>
      </c>
      <c r="G184" t="s">
        <v>25</v>
      </c>
      <c r="H184" t="s">
        <v>18</v>
      </c>
      <c r="I184" s="3">
        <v>1</v>
      </c>
      <c r="J184" t="s">
        <v>16</v>
      </c>
      <c r="K184" t="s">
        <v>17</v>
      </c>
      <c r="L184" s="3">
        <v>38</v>
      </c>
      <c r="M184" s="3" t="str" cm="1">
        <f t="array" ref="M184">_xlfn.IFS(
L184&gt;=65,"Retirement Age",
AND(L184&lt;65,L184&gt;=40),"Middle Aged",
AND(L184&lt;40,L184&gt;=30),"In the 30s",
L184&lt;30,"Below 30")</f>
        <v>In the 30s</v>
      </c>
      <c r="N184" t="s">
        <v>18</v>
      </c>
    </row>
    <row r="185" spans="1:14" x14ac:dyDescent="0.25">
      <c r="A185">
        <v>15265</v>
      </c>
      <c r="B185" t="s">
        <v>37</v>
      </c>
      <c r="C185" t="s">
        <v>38</v>
      </c>
      <c r="D185" s="1">
        <v>40000</v>
      </c>
      <c r="E185" s="3">
        <v>2</v>
      </c>
      <c r="F185" t="s">
        <v>13</v>
      </c>
      <c r="G185" t="s">
        <v>28</v>
      </c>
      <c r="H185" t="s">
        <v>15</v>
      </c>
      <c r="I185" s="3">
        <v>2</v>
      </c>
      <c r="J185" t="s">
        <v>23</v>
      </c>
      <c r="K185" t="s">
        <v>24</v>
      </c>
      <c r="L185" s="3">
        <v>66</v>
      </c>
      <c r="M185" s="3" t="str" cm="1">
        <f t="array" ref="M185">_xlfn.IFS(
L185&gt;=65,"Retirement Age",
AND(L185&lt;65,L185&gt;=40),"Middle Aged",
AND(L185&lt;40,L185&gt;=30),"In the 30s",
L185&lt;30,"Below 30")</f>
        <v>Retirement Age</v>
      </c>
      <c r="N185" t="s">
        <v>15</v>
      </c>
    </row>
    <row r="186" spans="1:14" x14ac:dyDescent="0.25">
      <c r="A186">
        <v>28918</v>
      </c>
      <c r="B186" t="s">
        <v>36</v>
      </c>
      <c r="C186" t="s">
        <v>39</v>
      </c>
      <c r="D186" s="1">
        <v>130000</v>
      </c>
      <c r="E186" s="3">
        <v>4</v>
      </c>
      <c r="F186" t="s">
        <v>27</v>
      </c>
      <c r="G186" t="s">
        <v>28</v>
      </c>
      <c r="H186" t="s">
        <v>18</v>
      </c>
      <c r="I186" s="3">
        <v>4</v>
      </c>
      <c r="J186" t="s">
        <v>45</v>
      </c>
      <c r="K186" t="s">
        <v>17</v>
      </c>
      <c r="L186" s="3">
        <v>58</v>
      </c>
      <c r="M186" s="3" t="str" cm="1">
        <f t="array" ref="M186">_xlfn.IFS(
L186&gt;=65,"Retirement Age",
AND(L186&lt;65,L186&gt;=40),"Middle Aged",
AND(L186&lt;40,L186&gt;=30),"In the 30s",
L186&lt;30,"Below 30")</f>
        <v>Middle Aged</v>
      </c>
      <c r="N186" t="s">
        <v>18</v>
      </c>
    </row>
    <row r="187" spans="1:14" x14ac:dyDescent="0.25">
      <c r="A187">
        <v>15799</v>
      </c>
      <c r="B187" t="s">
        <v>36</v>
      </c>
      <c r="C187" t="s">
        <v>39</v>
      </c>
      <c r="D187" s="1">
        <v>90000</v>
      </c>
      <c r="E187" s="3">
        <v>1</v>
      </c>
      <c r="F187" t="s">
        <v>13</v>
      </c>
      <c r="G187" t="s">
        <v>21</v>
      </c>
      <c r="H187" t="s">
        <v>15</v>
      </c>
      <c r="I187" s="3">
        <v>1</v>
      </c>
      <c r="J187" t="s">
        <v>22</v>
      </c>
      <c r="K187" t="s">
        <v>24</v>
      </c>
      <c r="L187" s="3">
        <v>47</v>
      </c>
      <c r="M187" s="3" t="str" cm="1">
        <f t="array" ref="M187">_xlfn.IFS(
L187&gt;=65,"Retirement Age",
AND(L187&lt;65,L187&gt;=40),"Middle Aged",
AND(L187&lt;40,L187&gt;=30),"In the 30s",
L187&lt;30,"Below 30")</f>
        <v>Middle Aged</v>
      </c>
      <c r="N187" t="s">
        <v>15</v>
      </c>
    </row>
    <row r="188" spans="1:14" x14ac:dyDescent="0.25">
      <c r="A188">
        <v>11047</v>
      </c>
      <c r="B188" t="s">
        <v>36</v>
      </c>
      <c r="C188" t="s">
        <v>39</v>
      </c>
      <c r="D188" s="1">
        <v>30000</v>
      </c>
      <c r="E188" s="3">
        <v>3</v>
      </c>
      <c r="F188" t="s">
        <v>27</v>
      </c>
      <c r="G188" t="s">
        <v>14</v>
      </c>
      <c r="H188" t="s">
        <v>18</v>
      </c>
      <c r="I188" s="3">
        <v>2</v>
      </c>
      <c r="J188" t="s">
        <v>26</v>
      </c>
      <c r="K188" t="s">
        <v>24</v>
      </c>
      <c r="L188" s="3">
        <v>56</v>
      </c>
      <c r="M188" s="3" t="str" cm="1">
        <f t="array" ref="M188">_xlfn.IFS(
L188&gt;=65,"Retirement Age",
AND(L188&lt;65,L188&gt;=40),"Middle Aged",
AND(L188&lt;40,L188&gt;=30),"In the 30s",
L188&lt;30,"Below 30")</f>
        <v>Middle Aged</v>
      </c>
      <c r="N188" t="s">
        <v>15</v>
      </c>
    </row>
    <row r="189" spans="1:14" x14ac:dyDescent="0.25">
      <c r="A189">
        <v>18151</v>
      </c>
      <c r="B189" t="s">
        <v>37</v>
      </c>
      <c r="C189" t="s">
        <v>38</v>
      </c>
      <c r="D189" s="1">
        <v>80000</v>
      </c>
      <c r="E189" s="3">
        <v>5</v>
      </c>
      <c r="F189" t="s">
        <v>19</v>
      </c>
      <c r="G189" t="s">
        <v>21</v>
      </c>
      <c r="H189" t="s">
        <v>18</v>
      </c>
      <c r="I189" s="3">
        <v>2</v>
      </c>
      <c r="J189" t="s">
        <v>45</v>
      </c>
      <c r="K189" t="s">
        <v>17</v>
      </c>
      <c r="L189" s="3">
        <v>59</v>
      </c>
      <c r="M189" s="3" t="str" cm="1">
        <f t="array" ref="M189">_xlfn.IFS(
L189&gt;=65,"Retirement Age",
AND(L189&lt;65,L189&gt;=40),"Middle Aged",
AND(L189&lt;40,L189&gt;=30),"In the 30s",
L189&lt;30,"Below 30")</f>
        <v>Middle Aged</v>
      </c>
      <c r="N189" t="s">
        <v>18</v>
      </c>
    </row>
    <row r="190" spans="1:14" x14ac:dyDescent="0.25">
      <c r="A190">
        <v>20606</v>
      </c>
      <c r="B190" t="s">
        <v>36</v>
      </c>
      <c r="C190" t="s">
        <v>39</v>
      </c>
      <c r="D190" s="1">
        <v>70000</v>
      </c>
      <c r="E190" s="3">
        <v>0</v>
      </c>
      <c r="F190" t="s">
        <v>13</v>
      </c>
      <c r="G190" t="s">
        <v>21</v>
      </c>
      <c r="H190" t="s">
        <v>15</v>
      </c>
      <c r="I190" s="3">
        <v>4</v>
      </c>
      <c r="J190" t="s">
        <v>45</v>
      </c>
      <c r="K190" t="s">
        <v>24</v>
      </c>
      <c r="L190" s="3">
        <v>32</v>
      </c>
      <c r="M190" s="3" t="str" cm="1">
        <f t="array" ref="M190">_xlfn.IFS(
L190&gt;=65,"Retirement Age",
AND(L190&lt;65,L190&gt;=40),"Middle Aged",
AND(L190&lt;40,L190&gt;=30),"In the 30s",
L190&lt;30,"Below 30")</f>
        <v>In the 30s</v>
      </c>
      <c r="N190" t="s">
        <v>15</v>
      </c>
    </row>
    <row r="191" spans="1:14" x14ac:dyDescent="0.25">
      <c r="A191">
        <v>19482</v>
      </c>
      <c r="B191" t="s">
        <v>36</v>
      </c>
      <c r="C191" t="s">
        <v>38</v>
      </c>
      <c r="D191" s="1">
        <v>30000</v>
      </c>
      <c r="E191" s="3">
        <v>1</v>
      </c>
      <c r="F191" t="s">
        <v>19</v>
      </c>
      <c r="G191" t="s">
        <v>20</v>
      </c>
      <c r="H191" t="s">
        <v>15</v>
      </c>
      <c r="I191" s="3">
        <v>1</v>
      </c>
      <c r="J191" t="s">
        <v>16</v>
      </c>
      <c r="K191" t="s">
        <v>17</v>
      </c>
      <c r="L191" s="3">
        <v>44</v>
      </c>
      <c r="M191" s="3" t="str" cm="1">
        <f t="array" ref="M191">_xlfn.IFS(
L191&gt;=65,"Retirement Age",
AND(L191&lt;65,L191&gt;=40),"Middle Aged",
AND(L191&lt;40,L191&gt;=30),"In the 30s",
L191&lt;30,"Below 30")</f>
        <v>Middle Aged</v>
      </c>
      <c r="N191" t="s">
        <v>15</v>
      </c>
    </row>
    <row r="192" spans="1:14" x14ac:dyDescent="0.25">
      <c r="A192">
        <v>16489</v>
      </c>
      <c r="B192" t="s">
        <v>36</v>
      </c>
      <c r="C192" t="s">
        <v>38</v>
      </c>
      <c r="D192" s="1">
        <v>30000</v>
      </c>
      <c r="E192" s="3">
        <v>3</v>
      </c>
      <c r="F192" t="s">
        <v>27</v>
      </c>
      <c r="G192" t="s">
        <v>14</v>
      </c>
      <c r="H192" t="s">
        <v>15</v>
      </c>
      <c r="I192" s="3">
        <v>2</v>
      </c>
      <c r="J192" t="s">
        <v>23</v>
      </c>
      <c r="K192" t="s">
        <v>24</v>
      </c>
      <c r="L192" s="3">
        <v>55</v>
      </c>
      <c r="M192" s="3" t="str" cm="1">
        <f t="array" ref="M192">_xlfn.IFS(
L192&gt;=65,"Retirement Age",
AND(L192&lt;65,L192&gt;=40),"Middle Aged",
AND(L192&lt;40,L192&gt;=30),"In the 30s",
L192&lt;30,"Below 30")</f>
        <v>Middle Aged</v>
      </c>
      <c r="N192" t="s">
        <v>18</v>
      </c>
    </row>
    <row r="193" spans="1:14" x14ac:dyDescent="0.25">
      <c r="A193">
        <v>26944</v>
      </c>
      <c r="B193" t="s">
        <v>37</v>
      </c>
      <c r="C193" t="s">
        <v>38</v>
      </c>
      <c r="D193" s="1">
        <v>90000</v>
      </c>
      <c r="E193" s="3">
        <v>2</v>
      </c>
      <c r="F193" t="s">
        <v>27</v>
      </c>
      <c r="G193" t="s">
        <v>25</v>
      </c>
      <c r="H193" t="s">
        <v>15</v>
      </c>
      <c r="I193" s="3">
        <v>0</v>
      </c>
      <c r="J193" t="s">
        <v>16</v>
      </c>
      <c r="K193" t="s">
        <v>17</v>
      </c>
      <c r="L193" s="3">
        <v>36</v>
      </c>
      <c r="M193" s="3" t="str" cm="1">
        <f t="array" ref="M193">_xlfn.IFS(
L193&gt;=65,"Retirement Age",
AND(L193&lt;65,L193&gt;=40),"Middle Aged",
AND(L193&lt;40,L193&gt;=30),"In the 30s",
L193&lt;30,"Below 30")</f>
        <v>In the 30s</v>
      </c>
      <c r="N193" t="s">
        <v>15</v>
      </c>
    </row>
    <row r="194" spans="1:14" x14ac:dyDescent="0.25">
      <c r="A194">
        <v>15682</v>
      </c>
      <c r="B194" t="s">
        <v>37</v>
      </c>
      <c r="C194" t="s">
        <v>39</v>
      </c>
      <c r="D194" s="1">
        <v>80000</v>
      </c>
      <c r="E194" s="3">
        <v>5</v>
      </c>
      <c r="F194" t="s">
        <v>13</v>
      </c>
      <c r="G194" t="s">
        <v>28</v>
      </c>
      <c r="H194" t="s">
        <v>15</v>
      </c>
      <c r="I194" s="3">
        <v>2</v>
      </c>
      <c r="J194" t="s">
        <v>45</v>
      </c>
      <c r="K194" t="s">
        <v>17</v>
      </c>
      <c r="L194" s="3">
        <v>62</v>
      </c>
      <c r="M194" s="3" t="str" cm="1">
        <f t="array" ref="M194">_xlfn.IFS(
L194&gt;=65,"Retirement Age",
AND(L194&lt;65,L194&gt;=40),"Middle Aged",
AND(L194&lt;40,L194&gt;=30),"In the 30s",
L194&lt;30,"Below 30")</f>
        <v>Middle Aged</v>
      </c>
      <c r="N194" t="s">
        <v>18</v>
      </c>
    </row>
    <row r="195" spans="1:14" x14ac:dyDescent="0.25">
      <c r="A195">
        <v>26032</v>
      </c>
      <c r="B195" t="s">
        <v>36</v>
      </c>
      <c r="C195" t="s">
        <v>39</v>
      </c>
      <c r="D195" s="1">
        <v>70000</v>
      </c>
      <c r="E195" s="3">
        <v>5</v>
      </c>
      <c r="F195" t="s">
        <v>13</v>
      </c>
      <c r="G195" t="s">
        <v>21</v>
      </c>
      <c r="H195" t="s">
        <v>15</v>
      </c>
      <c r="I195" s="3">
        <v>4</v>
      </c>
      <c r="J195" t="s">
        <v>45</v>
      </c>
      <c r="K195" t="s">
        <v>24</v>
      </c>
      <c r="L195" s="3">
        <v>41</v>
      </c>
      <c r="M195" s="3" t="str" cm="1">
        <f t="array" ref="M195">_xlfn.IFS(
L195&gt;=65,"Retirement Age",
AND(L195&lt;65,L195&gt;=40),"Middle Aged",
AND(L195&lt;40,L195&gt;=30),"In the 30s",
L195&lt;30,"Below 30")</f>
        <v>Middle Aged</v>
      </c>
      <c r="N195" t="s">
        <v>18</v>
      </c>
    </row>
    <row r="196" spans="1:14" x14ac:dyDescent="0.25">
      <c r="A196">
        <v>17843</v>
      </c>
      <c r="B196" t="s">
        <v>37</v>
      </c>
      <c r="C196" t="s">
        <v>39</v>
      </c>
      <c r="D196" s="1">
        <v>10000</v>
      </c>
      <c r="E196" s="3">
        <v>0</v>
      </c>
      <c r="F196" t="s">
        <v>29</v>
      </c>
      <c r="G196" t="s">
        <v>25</v>
      </c>
      <c r="H196" t="s">
        <v>18</v>
      </c>
      <c r="I196" s="3">
        <v>2</v>
      </c>
      <c r="J196" t="s">
        <v>16</v>
      </c>
      <c r="K196" t="s">
        <v>17</v>
      </c>
      <c r="L196" s="3">
        <v>32</v>
      </c>
      <c r="M196" s="3" t="str" cm="1">
        <f t="array" ref="M196">_xlfn.IFS(
L196&gt;=65,"Retirement Age",
AND(L196&lt;65,L196&gt;=40),"Middle Aged",
AND(L196&lt;40,L196&gt;=30),"In the 30s",
L196&lt;30,"Below 30")</f>
        <v>In the 30s</v>
      </c>
      <c r="N196" t="s">
        <v>18</v>
      </c>
    </row>
    <row r="197" spans="1:14" x14ac:dyDescent="0.25">
      <c r="A197">
        <v>25559</v>
      </c>
      <c r="B197" t="s">
        <v>37</v>
      </c>
      <c r="C197" t="s">
        <v>38</v>
      </c>
      <c r="D197" s="1">
        <v>20000</v>
      </c>
      <c r="E197" s="3">
        <v>0</v>
      </c>
      <c r="F197" t="s">
        <v>13</v>
      </c>
      <c r="G197" t="s">
        <v>20</v>
      </c>
      <c r="H197" t="s">
        <v>15</v>
      </c>
      <c r="I197" s="3">
        <v>0</v>
      </c>
      <c r="J197" t="s">
        <v>16</v>
      </c>
      <c r="K197" t="s">
        <v>24</v>
      </c>
      <c r="L197" s="3">
        <v>25</v>
      </c>
      <c r="M197" s="3" t="str" cm="1">
        <f t="array" ref="M197">_xlfn.IFS(
L197&gt;=65,"Retirement Age",
AND(L197&lt;65,L197&gt;=40),"Middle Aged",
AND(L197&lt;40,L197&gt;=30),"In the 30s",
L197&lt;30,"Below 30")</f>
        <v>Below 30</v>
      </c>
      <c r="N197" t="s">
        <v>15</v>
      </c>
    </row>
    <row r="198" spans="1:14" x14ac:dyDescent="0.25">
      <c r="A198">
        <v>16209</v>
      </c>
      <c r="B198" t="s">
        <v>37</v>
      </c>
      <c r="C198" t="s">
        <v>39</v>
      </c>
      <c r="D198" s="1">
        <v>50000</v>
      </c>
      <c r="E198" s="3">
        <v>0</v>
      </c>
      <c r="F198" t="s">
        <v>31</v>
      </c>
      <c r="G198" t="s">
        <v>14</v>
      </c>
      <c r="H198" t="s">
        <v>15</v>
      </c>
      <c r="I198" s="3">
        <v>0</v>
      </c>
      <c r="J198" t="s">
        <v>26</v>
      </c>
      <c r="K198" t="s">
        <v>17</v>
      </c>
      <c r="L198" s="3">
        <v>36</v>
      </c>
      <c r="M198" s="3" t="str" cm="1">
        <f t="array" ref="M198">_xlfn.IFS(
L198&gt;=65,"Retirement Age",
AND(L198&lt;65,L198&gt;=40),"Middle Aged",
AND(L198&lt;40,L198&gt;=30),"In the 30s",
L198&lt;30,"Below 30")</f>
        <v>In the 30s</v>
      </c>
      <c r="N198" t="s">
        <v>18</v>
      </c>
    </row>
    <row r="199" spans="1:14" x14ac:dyDescent="0.25">
      <c r="A199">
        <v>11147</v>
      </c>
      <c r="B199" t="s">
        <v>36</v>
      </c>
      <c r="C199" t="s">
        <v>38</v>
      </c>
      <c r="D199" s="1">
        <v>60000</v>
      </c>
      <c r="E199" s="3">
        <v>2</v>
      </c>
      <c r="F199" t="s">
        <v>31</v>
      </c>
      <c r="G199" t="s">
        <v>28</v>
      </c>
      <c r="H199" t="s">
        <v>15</v>
      </c>
      <c r="I199" s="3">
        <v>1</v>
      </c>
      <c r="J199" t="s">
        <v>16</v>
      </c>
      <c r="K199" t="s">
        <v>24</v>
      </c>
      <c r="L199" s="3">
        <v>67</v>
      </c>
      <c r="M199" s="3" t="str" cm="1">
        <f t="array" ref="M199">_xlfn.IFS(
L199&gt;=65,"Retirement Age",
AND(L199&lt;65,L199&gt;=40),"Middle Aged",
AND(L199&lt;40,L199&gt;=30),"In the 30s",
L199&lt;30,"Below 30")</f>
        <v>Retirement Age</v>
      </c>
      <c r="N199" t="s">
        <v>15</v>
      </c>
    </row>
    <row r="200" spans="1:14" x14ac:dyDescent="0.25">
      <c r="A200">
        <v>15214</v>
      </c>
      <c r="B200" t="s">
        <v>37</v>
      </c>
      <c r="C200" t="s">
        <v>39</v>
      </c>
      <c r="D200" s="1">
        <v>100000</v>
      </c>
      <c r="E200" s="3">
        <v>0</v>
      </c>
      <c r="F200" t="s">
        <v>31</v>
      </c>
      <c r="G200" t="s">
        <v>28</v>
      </c>
      <c r="H200" t="s">
        <v>18</v>
      </c>
      <c r="I200" s="3">
        <v>1</v>
      </c>
      <c r="J200" t="s">
        <v>26</v>
      </c>
      <c r="K200" t="s">
        <v>24</v>
      </c>
      <c r="L200" s="3">
        <v>39</v>
      </c>
      <c r="M200" s="3" t="str" cm="1">
        <f t="array" ref="M200">_xlfn.IFS(
L200&gt;=65,"Retirement Age",
AND(L200&lt;65,L200&gt;=40),"Middle Aged",
AND(L200&lt;40,L200&gt;=30),"In the 30s",
L200&lt;30,"Below 30")</f>
        <v>In the 30s</v>
      </c>
      <c r="N200" t="s">
        <v>15</v>
      </c>
    </row>
    <row r="201" spans="1:14" x14ac:dyDescent="0.25">
      <c r="A201">
        <v>11453</v>
      </c>
      <c r="B201" t="s">
        <v>37</v>
      </c>
      <c r="C201" t="s">
        <v>38</v>
      </c>
      <c r="D201" s="1">
        <v>80000</v>
      </c>
      <c r="E201" s="3">
        <v>0</v>
      </c>
      <c r="F201" t="s">
        <v>13</v>
      </c>
      <c r="G201" t="s">
        <v>21</v>
      </c>
      <c r="H201" t="s">
        <v>18</v>
      </c>
      <c r="I201" s="3">
        <v>3</v>
      </c>
      <c r="J201" t="s">
        <v>45</v>
      </c>
      <c r="K201" t="s">
        <v>24</v>
      </c>
      <c r="L201" s="3">
        <v>33</v>
      </c>
      <c r="M201" s="3" t="str" cm="1">
        <f t="array" ref="M201">_xlfn.IFS(
L201&gt;=65,"Retirement Age",
AND(L201&lt;65,L201&gt;=40),"Middle Aged",
AND(L201&lt;40,L201&gt;=30),"In the 30s",
L201&lt;30,"Below 30")</f>
        <v>In the 30s</v>
      </c>
      <c r="N201" t="s">
        <v>15</v>
      </c>
    </row>
    <row r="202" spans="1:14" x14ac:dyDescent="0.25">
      <c r="A202">
        <v>24584</v>
      </c>
      <c r="B202" t="s">
        <v>37</v>
      </c>
      <c r="C202" t="s">
        <v>38</v>
      </c>
      <c r="D202" s="1">
        <v>60000</v>
      </c>
      <c r="E202" s="3">
        <v>0</v>
      </c>
      <c r="F202" t="s">
        <v>13</v>
      </c>
      <c r="G202" t="s">
        <v>21</v>
      </c>
      <c r="H202" t="s">
        <v>18</v>
      </c>
      <c r="I202" s="3">
        <v>3</v>
      </c>
      <c r="J202" t="s">
        <v>22</v>
      </c>
      <c r="K202" t="s">
        <v>24</v>
      </c>
      <c r="L202" s="3">
        <v>31</v>
      </c>
      <c r="M202" s="3" t="str" cm="1">
        <f t="array" ref="M202">_xlfn.IFS(
L202&gt;=65,"Retirement Age",
AND(L202&lt;65,L202&gt;=40),"Middle Aged",
AND(L202&lt;40,L202&gt;=30),"In the 30s",
L202&lt;30,"Below 30")</f>
        <v>In the 30s</v>
      </c>
      <c r="N202" t="s">
        <v>18</v>
      </c>
    </row>
    <row r="203" spans="1:14" x14ac:dyDescent="0.25">
      <c r="A203">
        <v>12585</v>
      </c>
      <c r="B203" t="s">
        <v>36</v>
      </c>
      <c r="C203" t="s">
        <v>38</v>
      </c>
      <c r="D203" s="1">
        <v>10000</v>
      </c>
      <c r="E203" s="3">
        <v>1</v>
      </c>
      <c r="F203" t="s">
        <v>27</v>
      </c>
      <c r="G203" t="s">
        <v>25</v>
      </c>
      <c r="H203" t="s">
        <v>15</v>
      </c>
      <c r="I203" s="3">
        <v>0</v>
      </c>
      <c r="J203" t="s">
        <v>22</v>
      </c>
      <c r="K203" t="s">
        <v>24</v>
      </c>
      <c r="L203" s="3">
        <v>27</v>
      </c>
      <c r="M203" s="3" t="str" cm="1">
        <f t="array" ref="M203">_xlfn.IFS(
L203&gt;=65,"Retirement Age",
AND(L203&lt;65,L203&gt;=40),"Middle Aged",
AND(L203&lt;40,L203&gt;=30),"In the 30s",
L203&lt;30,"Below 30")</f>
        <v>Below 30</v>
      </c>
      <c r="N203" t="s">
        <v>15</v>
      </c>
    </row>
    <row r="204" spans="1:14" x14ac:dyDescent="0.25">
      <c r="A204">
        <v>18626</v>
      </c>
      <c r="B204" t="s">
        <v>37</v>
      </c>
      <c r="C204" t="s">
        <v>38</v>
      </c>
      <c r="D204" s="1">
        <v>40000</v>
      </c>
      <c r="E204" s="3">
        <v>2</v>
      </c>
      <c r="F204" t="s">
        <v>19</v>
      </c>
      <c r="G204" t="s">
        <v>20</v>
      </c>
      <c r="H204" t="s">
        <v>15</v>
      </c>
      <c r="I204" s="3">
        <v>0</v>
      </c>
      <c r="J204" t="s">
        <v>26</v>
      </c>
      <c r="K204" t="s">
        <v>17</v>
      </c>
      <c r="L204" s="3">
        <v>33</v>
      </c>
      <c r="M204" s="3" t="str" cm="1">
        <f t="array" ref="M204">_xlfn.IFS(
L204&gt;=65,"Retirement Age",
AND(L204&lt;65,L204&gt;=40),"Middle Aged",
AND(L204&lt;40,L204&gt;=30),"In the 30s",
L204&lt;30,"Below 30")</f>
        <v>In the 30s</v>
      </c>
      <c r="N204" t="s">
        <v>15</v>
      </c>
    </row>
    <row r="205" spans="1:14" x14ac:dyDescent="0.25">
      <c r="A205">
        <v>29298</v>
      </c>
      <c r="B205" t="s">
        <v>37</v>
      </c>
      <c r="C205" t="s">
        <v>39</v>
      </c>
      <c r="D205" s="1">
        <v>60000</v>
      </c>
      <c r="E205" s="3">
        <v>1</v>
      </c>
      <c r="F205" t="s">
        <v>19</v>
      </c>
      <c r="G205" t="s">
        <v>14</v>
      </c>
      <c r="H205" t="s">
        <v>15</v>
      </c>
      <c r="I205" s="3">
        <v>1</v>
      </c>
      <c r="J205" t="s">
        <v>23</v>
      </c>
      <c r="K205" t="s">
        <v>24</v>
      </c>
      <c r="L205" s="3">
        <v>46</v>
      </c>
      <c r="M205" s="3" t="str" cm="1">
        <f t="array" ref="M205">_xlfn.IFS(
L205&gt;=65,"Retirement Age",
AND(L205&lt;65,L205&gt;=40),"Middle Aged",
AND(L205&lt;40,L205&gt;=30),"In the 30s",
L205&lt;30,"Below 30")</f>
        <v>Middle Aged</v>
      </c>
      <c r="N205" t="s">
        <v>15</v>
      </c>
    </row>
    <row r="206" spans="1:14" x14ac:dyDescent="0.25">
      <c r="A206">
        <v>24842</v>
      </c>
      <c r="B206" t="s">
        <v>37</v>
      </c>
      <c r="C206" t="s">
        <v>39</v>
      </c>
      <c r="D206" s="1">
        <v>90000</v>
      </c>
      <c r="E206" s="3">
        <v>3</v>
      </c>
      <c r="F206" t="s">
        <v>27</v>
      </c>
      <c r="G206" t="s">
        <v>21</v>
      </c>
      <c r="H206" t="s">
        <v>18</v>
      </c>
      <c r="I206" s="3">
        <v>1</v>
      </c>
      <c r="J206" t="s">
        <v>22</v>
      </c>
      <c r="K206" t="s">
        <v>17</v>
      </c>
      <c r="L206" s="3">
        <v>51</v>
      </c>
      <c r="M206" s="3" t="str" cm="1">
        <f t="array" ref="M206">_xlfn.IFS(
L206&gt;=65,"Retirement Age",
AND(L206&lt;65,L206&gt;=40),"Middle Aged",
AND(L206&lt;40,L206&gt;=30),"In the 30s",
L206&lt;30,"Below 30")</f>
        <v>Middle Aged</v>
      </c>
      <c r="N206" t="s">
        <v>18</v>
      </c>
    </row>
    <row r="207" spans="1:14" x14ac:dyDescent="0.25">
      <c r="A207">
        <v>15657</v>
      </c>
      <c r="B207" t="s">
        <v>36</v>
      </c>
      <c r="C207" t="s">
        <v>38</v>
      </c>
      <c r="D207" s="1">
        <v>30000</v>
      </c>
      <c r="E207" s="3">
        <v>3</v>
      </c>
      <c r="F207" t="s">
        <v>31</v>
      </c>
      <c r="G207" t="s">
        <v>20</v>
      </c>
      <c r="H207" t="s">
        <v>15</v>
      </c>
      <c r="I207" s="3">
        <v>0</v>
      </c>
      <c r="J207" t="s">
        <v>16</v>
      </c>
      <c r="K207" t="s">
        <v>17</v>
      </c>
      <c r="L207" s="3">
        <v>46</v>
      </c>
      <c r="M207" s="3" t="str" cm="1">
        <f t="array" ref="M207">_xlfn.IFS(
L207&gt;=65,"Retirement Age",
AND(L207&lt;65,L207&gt;=40),"Middle Aged",
AND(L207&lt;40,L207&gt;=30),"In the 30s",
L207&lt;30,"Below 30")</f>
        <v>Middle Aged</v>
      </c>
      <c r="N207" t="s">
        <v>15</v>
      </c>
    </row>
    <row r="208" spans="1:14" x14ac:dyDescent="0.25">
      <c r="A208">
        <v>11415</v>
      </c>
      <c r="B208" t="s">
        <v>37</v>
      </c>
      <c r="C208" t="s">
        <v>38</v>
      </c>
      <c r="D208" s="1">
        <v>90000</v>
      </c>
      <c r="E208" s="3">
        <v>5</v>
      </c>
      <c r="F208" t="s">
        <v>19</v>
      </c>
      <c r="G208" t="s">
        <v>21</v>
      </c>
      <c r="H208" t="s">
        <v>18</v>
      </c>
      <c r="I208" s="3">
        <v>2</v>
      </c>
      <c r="J208" t="s">
        <v>45</v>
      </c>
      <c r="K208" t="s">
        <v>17</v>
      </c>
      <c r="L208" s="3">
        <v>62</v>
      </c>
      <c r="M208" s="3" t="str" cm="1">
        <f t="array" ref="M208">_xlfn.IFS(
L208&gt;=65,"Retirement Age",
AND(L208&lt;65,L208&gt;=40),"Middle Aged",
AND(L208&lt;40,L208&gt;=30),"In the 30s",
L208&lt;30,"Below 30")</f>
        <v>Middle Aged</v>
      </c>
      <c r="N208" t="s">
        <v>18</v>
      </c>
    </row>
    <row r="209" spans="1:14" x14ac:dyDescent="0.25">
      <c r="A209">
        <v>28729</v>
      </c>
      <c r="B209" t="s">
        <v>37</v>
      </c>
      <c r="C209" t="s">
        <v>39</v>
      </c>
      <c r="D209" s="1">
        <v>20000</v>
      </c>
      <c r="E209" s="3">
        <v>0</v>
      </c>
      <c r="F209" t="s">
        <v>29</v>
      </c>
      <c r="G209" t="s">
        <v>25</v>
      </c>
      <c r="H209" t="s">
        <v>15</v>
      </c>
      <c r="I209" s="3">
        <v>2</v>
      </c>
      <c r="J209" t="s">
        <v>26</v>
      </c>
      <c r="K209" t="s">
        <v>17</v>
      </c>
      <c r="L209" s="3">
        <v>26</v>
      </c>
      <c r="M209" s="3" t="str" cm="1">
        <f t="array" ref="M209">_xlfn.IFS(
L209&gt;=65,"Retirement Age",
AND(L209&lt;65,L209&gt;=40),"Middle Aged",
AND(L209&lt;40,L209&gt;=30),"In the 30s",
L209&lt;30,"Below 30")</f>
        <v>Below 30</v>
      </c>
      <c r="N209" t="s">
        <v>15</v>
      </c>
    </row>
    <row r="210" spans="1:14" x14ac:dyDescent="0.25">
      <c r="A210">
        <v>22633</v>
      </c>
      <c r="B210" t="s">
        <v>37</v>
      </c>
      <c r="C210" t="s">
        <v>39</v>
      </c>
      <c r="D210" s="1">
        <v>40000</v>
      </c>
      <c r="E210" s="3">
        <v>0</v>
      </c>
      <c r="F210" t="s">
        <v>31</v>
      </c>
      <c r="G210" t="s">
        <v>20</v>
      </c>
      <c r="H210" t="s">
        <v>15</v>
      </c>
      <c r="I210" s="3">
        <v>0</v>
      </c>
      <c r="J210" t="s">
        <v>16</v>
      </c>
      <c r="K210" t="s">
        <v>17</v>
      </c>
      <c r="L210" s="3">
        <v>37</v>
      </c>
      <c r="M210" s="3" t="str" cm="1">
        <f t="array" ref="M210">_xlfn.IFS(
L210&gt;=65,"Retirement Age",
AND(L210&lt;65,L210&gt;=40),"Middle Aged",
AND(L210&lt;40,L210&gt;=30),"In the 30s",
L210&lt;30,"Below 30")</f>
        <v>In the 30s</v>
      </c>
      <c r="N210" t="s">
        <v>15</v>
      </c>
    </row>
    <row r="211" spans="1:14" x14ac:dyDescent="0.25">
      <c r="A211">
        <v>25649</v>
      </c>
      <c r="B211" t="s">
        <v>37</v>
      </c>
      <c r="C211" t="s">
        <v>39</v>
      </c>
      <c r="D211" s="1">
        <v>30000</v>
      </c>
      <c r="E211" s="3">
        <v>3</v>
      </c>
      <c r="F211" t="s">
        <v>19</v>
      </c>
      <c r="G211" t="s">
        <v>20</v>
      </c>
      <c r="H211" t="s">
        <v>15</v>
      </c>
      <c r="I211" s="3">
        <v>0</v>
      </c>
      <c r="J211" t="s">
        <v>16</v>
      </c>
      <c r="K211" t="s">
        <v>17</v>
      </c>
      <c r="L211" s="3">
        <v>42</v>
      </c>
      <c r="M211" s="3" t="str" cm="1">
        <f t="array" ref="M211">_xlfn.IFS(
L211&gt;=65,"Retirement Age",
AND(L211&lt;65,L211&gt;=40),"Middle Aged",
AND(L211&lt;40,L211&gt;=30),"In the 30s",
L211&lt;30,"Below 30")</f>
        <v>Middle Aged</v>
      </c>
      <c r="N211" t="s">
        <v>15</v>
      </c>
    </row>
    <row r="212" spans="1:14" x14ac:dyDescent="0.25">
      <c r="A212">
        <v>14669</v>
      </c>
      <c r="B212" t="s">
        <v>36</v>
      </c>
      <c r="C212" t="s">
        <v>39</v>
      </c>
      <c r="D212" s="1">
        <v>80000</v>
      </c>
      <c r="E212" s="3">
        <v>4</v>
      </c>
      <c r="F212" t="s">
        <v>31</v>
      </c>
      <c r="G212" t="s">
        <v>28</v>
      </c>
      <c r="H212" t="s">
        <v>15</v>
      </c>
      <c r="I212" s="3">
        <v>1</v>
      </c>
      <c r="J212" t="s">
        <v>16</v>
      </c>
      <c r="K212" t="s">
        <v>24</v>
      </c>
      <c r="L212" s="3">
        <v>36</v>
      </c>
      <c r="M212" s="3" t="str" cm="1">
        <f t="array" ref="M212">_xlfn.IFS(
L212&gt;=65,"Retirement Age",
AND(L212&lt;65,L212&gt;=40),"Middle Aged",
AND(L212&lt;40,L212&gt;=30),"In the 30s",
L212&lt;30,"Below 30")</f>
        <v>In the 30s</v>
      </c>
      <c r="N212" t="s">
        <v>18</v>
      </c>
    </row>
    <row r="213" spans="1:14" x14ac:dyDescent="0.25">
      <c r="A213">
        <v>19299</v>
      </c>
      <c r="B213" t="s">
        <v>36</v>
      </c>
      <c r="C213" t="s">
        <v>39</v>
      </c>
      <c r="D213" s="1">
        <v>50000</v>
      </c>
      <c r="E213" s="3">
        <v>0</v>
      </c>
      <c r="F213" t="s">
        <v>31</v>
      </c>
      <c r="G213" t="s">
        <v>14</v>
      </c>
      <c r="H213" t="s">
        <v>15</v>
      </c>
      <c r="I213" s="3">
        <v>0</v>
      </c>
      <c r="J213" t="s">
        <v>16</v>
      </c>
      <c r="K213" t="s">
        <v>17</v>
      </c>
      <c r="L213" s="3">
        <v>36</v>
      </c>
      <c r="M213" s="3" t="str" cm="1">
        <f t="array" ref="M213">_xlfn.IFS(
L213&gt;=65,"Retirement Age",
AND(L213&lt;65,L213&gt;=40),"Middle Aged",
AND(L213&lt;40,L213&gt;=30),"In the 30s",
L213&lt;30,"Below 30")</f>
        <v>In the 30s</v>
      </c>
      <c r="N213" t="s">
        <v>15</v>
      </c>
    </row>
    <row r="214" spans="1:14" x14ac:dyDescent="0.25">
      <c r="A214">
        <v>20946</v>
      </c>
      <c r="B214" t="s">
        <v>37</v>
      </c>
      <c r="C214" t="s">
        <v>39</v>
      </c>
      <c r="D214" s="1">
        <v>30000</v>
      </c>
      <c r="E214" s="3">
        <v>0</v>
      </c>
      <c r="F214" t="s">
        <v>19</v>
      </c>
      <c r="G214" t="s">
        <v>20</v>
      </c>
      <c r="H214" t="s">
        <v>18</v>
      </c>
      <c r="I214" s="3">
        <v>1</v>
      </c>
      <c r="J214" t="s">
        <v>22</v>
      </c>
      <c r="K214" t="s">
        <v>17</v>
      </c>
      <c r="L214" s="3">
        <v>30</v>
      </c>
      <c r="M214" s="3" t="str" cm="1">
        <f t="array" ref="M214">_xlfn.IFS(
L214&gt;=65,"Retirement Age",
AND(L214&lt;65,L214&gt;=40),"Middle Aged",
AND(L214&lt;40,L214&gt;=30),"In the 30s",
L214&lt;30,"Below 30")</f>
        <v>In the 30s</v>
      </c>
      <c r="N214" t="s">
        <v>18</v>
      </c>
    </row>
    <row r="215" spans="1:14" x14ac:dyDescent="0.25">
      <c r="A215">
        <v>11451</v>
      </c>
      <c r="B215" t="s">
        <v>37</v>
      </c>
      <c r="C215" t="s">
        <v>38</v>
      </c>
      <c r="D215" s="1">
        <v>70000</v>
      </c>
      <c r="E215" s="3">
        <v>0</v>
      </c>
      <c r="F215" t="s">
        <v>13</v>
      </c>
      <c r="G215" t="s">
        <v>21</v>
      </c>
      <c r="H215" t="s">
        <v>18</v>
      </c>
      <c r="I215" s="3">
        <v>4</v>
      </c>
      <c r="J215" t="s">
        <v>45</v>
      </c>
      <c r="K215" t="s">
        <v>24</v>
      </c>
      <c r="L215" s="3">
        <v>31</v>
      </c>
      <c r="M215" s="3" t="str" cm="1">
        <f t="array" ref="M215">_xlfn.IFS(
L215&gt;=65,"Retirement Age",
AND(L215&lt;65,L215&gt;=40),"Middle Aged",
AND(L215&lt;40,L215&gt;=30),"In the 30s",
L215&lt;30,"Below 30")</f>
        <v>In the 30s</v>
      </c>
      <c r="N215" t="s">
        <v>15</v>
      </c>
    </row>
    <row r="216" spans="1:14" x14ac:dyDescent="0.25">
      <c r="A216">
        <v>25553</v>
      </c>
      <c r="B216" t="s">
        <v>36</v>
      </c>
      <c r="C216" t="s">
        <v>38</v>
      </c>
      <c r="D216" s="1">
        <v>30000</v>
      </c>
      <c r="E216" s="3">
        <v>1</v>
      </c>
      <c r="F216" t="s">
        <v>13</v>
      </c>
      <c r="G216" t="s">
        <v>20</v>
      </c>
      <c r="H216" t="s">
        <v>15</v>
      </c>
      <c r="I216" s="3">
        <v>0</v>
      </c>
      <c r="J216" t="s">
        <v>16</v>
      </c>
      <c r="K216" t="s">
        <v>17</v>
      </c>
      <c r="L216" s="3">
        <v>65</v>
      </c>
      <c r="M216" s="3" t="str" cm="1">
        <f t="array" ref="M216">_xlfn.IFS(
L216&gt;=65,"Retirement Age",
AND(L216&lt;65,L216&gt;=40),"Middle Aged",
AND(L216&lt;40,L216&gt;=30),"In the 30s",
L216&lt;30,"Below 30")</f>
        <v>Retirement Age</v>
      </c>
      <c r="N216" t="s">
        <v>15</v>
      </c>
    </row>
    <row r="217" spans="1:14" x14ac:dyDescent="0.25">
      <c r="A217">
        <v>27951</v>
      </c>
      <c r="B217" t="s">
        <v>37</v>
      </c>
      <c r="C217" t="s">
        <v>38</v>
      </c>
      <c r="D217" s="1">
        <v>80000</v>
      </c>
      <c r="E217" s="3">
        <v>4</v>
      </c>
      <c r="F217" t="s">
        <v>19</v>
      </c>
      <c r="G217" t="s">
        <v>21</v>
      </c>
      <c r="H217" t="s">
        <v>18</v>
      </c>
      <c r="I217" s="3">
        <v>2</v>
      </c>
      <c r="J217" t="s">
        <v>22</v>
      </c>
      <c r="K217" t="s">
        <v>17</v>
      </c>
      <c r="L217" s="3">
        <v>54</v>
      </c>
      <c r="M217" s="3" t="str" cm="1">
        <f t="array" ref="M217">_xlfn.IFS(
L217&gt;=65,"Retirement Age",
AND(L217&lt;65,L217&gt;=40),"Middle Aged",
AND(L217&lt;40,L217&gt;=30),"In the 30s",
L217&lt;30,"Below 30")</f>
        <v>Middle Aged</v>
      </c>
      <c r="N217" t="s">
        <v>15</v>
      </c>
    </row>
    <row r="218" spans="1:14" x14ac:dyDescent="0.25">
      <c r="A218">
        <v>25026</v>
      </c>
      <c r="B218" t="s">
        <v>36</v>
      </c>
      <c r="C218" t="s">
        <v>38</v>
      </c>
      <c r="D218" s="1">
        <v>20000</v>
      </c>
      <c r="E218" s="3">
        <v>2</v>
      </c>
      <c r="F218" t="s">
        <v>29</v>
      </c>
      <c r="G218" t="s">
        <v>20</v>
      </c>
      <c r="H218" t="s">
        <v>15</v>
      </c>
      <c r="I218" s="3">
        <v>3</v>
      </c>
      <c r="J218" t="s">
        <v>23</v>
      </c>
      <c r="K218" t="s">
        <v>24</v>
      </c>
      <c r="L218" s="3">
        <v>54</v>
      </c>
      <c r="M218" s="3" t="str" cm="1">
        <f t="array" ref="M218">_xlfn.IFS(
L218&gt;=65,"Retirement Age",
AND(L218&lt;65,L218&gt;=40),"Middle Aged",
AND(L218&lt;40,L218&gt;=30),"In the 30s",
L218&lt;30,"Below 30")</f>
        <v>Middle Aged</v>
      </c>
      <c r="N218" t="s">
        <v>18</v>
      </c>
    </row>
    <row r="219" spans="1:14" x14ac:dyDescent="0.25">
      <c r="A219">
        <v>13673</v>
      </c>
      <c r="B219" t="s">
        <v>37</v>
      </c>
      <c r="C219" t="s">
        <v>39</v>
      </c>
      <c r="D219" s="1">
        <v>20000</v>
      </c>
      <c r="E219" s="3">
        <v>0</v>
      </c>
      <c r="F219" t="s">
        <v>29</v>
      </c>
      <c r="G219" t="s">
        <v>25</v>
      </c>
      <c r="H219" t="s">
        <v>18</v>
      </c>
      <c r="I219" s="3">
        <v>2</v>
      </c>
      <c r="J219" t="s">
        <v>16</v>
      </c>
      <c r="K219" t="s">
        <v>17</v>
      </c>
      <c r="L219" s="3">
        <v>25</v>
      </c>
      <c r="M219" s="3" t="str" cm="1">
        <f t="array" ref="M219">_xlfn.IFS(
L219&gt;=65,"Retirement Age",
AND(L219&lt;65,L219&gt;=40),"Middle Aged",
AND(L219&lt;40,L219&gt;=30),"In the 30s",
L219&lt;30,"Below 30")</f>
        <v>Below 30</v>
      </c>
      <c r="N219" t="s">
        <v>18</v>
      </c>
    </row>
    <row r="220" spans="1:14" x14ac:dyDescent="0.25">
      <c r="A220">
        <v>16043</v>
      </c>
      <c r="B220" t="s">
        <v>37</v>
      </c>
      <c r="C220" t="s">
        <v>38</v>
      </c>
      <c r="D220" s="1">
        <v>10000</v>
      </c>
      <c r="E220" s="3">
        <v>1</v>
      </c>
      <c r="F220" t="s">
        <v>13</v>
      </c>
      <c r="G220" t="s">
        <v>25</v>
      </c>
      <c r="H220" t="s">
        <v>15</v>
      </c>
      <c r="I220" s="3">
        <v>0</v>
      </c>
      <c r="J220" t="s">
        <v>16</v>
      </c>
      <c r="K220" t="s">
        <v>17</v>
      </c>
      <c r="L220" s="3">
        <v>48</v>
      </c>
      <c r="M220" s="3" t="str" cm="1">
        <f t="array" ref="M220">_xlfn.IFS(
L220&gt;=65,"Retirement Age",
AND(L220&lt;65,L220&gt;=40),"Middle Aged",
AND(L220&lt;40,L220&gt;=30),"In the 30s",
L220&lt;30,"Below 30")</f>
        <v>Middle Aged</v>
      </c>
      <c r="N220" t="s">
        <v>18</v>
      </c>
    </row>
    <row r="221" spans="1:14" x14ac:dyDescent="0.25">
      <c r="A221">
        <v>22399</v>
      </c>
      <c r="B221" t="s">
        <v>37</v>
      </c>
      <c r="C221" t="s">
        <v>38</v>
      </c>
      <c r="D221" s="1">
        <v>10000</v>
      </c>
      <c r="E221" s="3">
        <v>0</v>
      </c>
      <c r="F221" t="s">
        <v>19</v>
      </c>
      <c r="G221" t="s">
        <v>25</v>
      </c>
      <c r="H221" t="s">
        <v>15</v>
      </c>
      <c r="I221" s="3">
        <v>1</v>
      </c>
      <c r="J221" t="s">
        <v>26</v>
      </c>
      <c r="K221" t="s">
        <v>24</v>
      </c>
      <c r="L221" s="3">
        <v>26</v>
      </c>
      <c r="M221" s="3" t="str" cm="1">
        <f t="array" ref="M221">_xlfn.IFS(
L221&gt;=65,"Retirement Age",
AND(L221&lt;65,L221&gt;=40),"Middle Aged",
AND(L221&lt;40,L221&gt;=30),"In the 30s",
L221&lt;30,"Below 30")</f>
        <v>Below 30</v>
      </c>
      <c r="N221" t="s">
        <v>15</v>
      </c>
    </row>
    <row r="222" spans="1:14" x14ac:dyDescent="0.25">
      <c r="A222">
        <v>27696</v>
      </c>
      <c r="B222" t="s">
        <v>36</v>
      </c>
      <c r="C222" t="s">
        <v>38</v>
      </c>
      <c r="D222" s="1">
        <v>60000</v>
      </c>
      <c r="E222" s="3">
        <v>1</v>
      </c>
      <c r="F222" t="s">
        <v>13</v>
      </c>
      <c r="G222" t="s">
        <v>21</v>
      </c>
      <c r="H222" t="s">
        <v>15</v>
      </c>
      <c r="I222" s="3">
        <v>1</v>
      </c>
      <c r="J222" t="s">
        <v>23</v>
      </c>
      <c r="K222" t="s">
        <v>24</v>
      </c>
      <c r="L222" s="3">
        <v>43</v>
      </c>
      <c r="M222" s="3" t="str" cm="1">
        <f t="array" ref="M222">_xlfn.IFS(
L222&gt;=65,"Retirement Age",
AND(L222&lt;65,L222&gt;=40),"Middle Aged",
AND(L222&lt;40,L222&gt;=30),"In the 30s",
L222&lt;30,"Below 30")</f>
        <v>Middle Aged</v>
      </c>
      <c r="N222" t="s">
        <v>15</v>
      </c>
    </row>
    <row r="223" spans="1:14" x14ac:dyDescent="0.25">
      <c r="A223">
        <v>25313</v>
      </c>
      <c r="B223" t="s">
        <v>37</v>
      </c>
      <c r="C223" t="s">
        <v>38</v>
      </c>
      <c r="D223" s="1">
        <v>10000</v>
      </c>
      <c r="E223" s="3">
        <v>0</v>
      </c>
      <c r="F223" t="s">
        <v>29</v>
      </c>
      <c r="G223" t="s">
        <v>25</v>
      </c>
      <c r="H223" t="s">
        <v>18</v>
      </c>
      <c r="I223" s="3">
        <v>2</v>
      </c>
      <c r="J223" t="s">
        <v>26</v>
      </c>
      <c r="K223" t="s">
        <v>17</v>
      </c>
      <c r="L223" s="3">
        <v>35</v>
      </c>
      <c r="M223" s="3" t="str" cm="1">
        <f t="array" ref="M223">_xlfn.IFS(
L223&gt;=65,"Retirement Age",
AND(L223&lt;65,L223&gt;=40),"Middle Aged",
AND(L223&lt;40,L223&gt;=30),"In the 30s",
L223&lt;30,"Below 30")</f>
        <v>In the 30s</v>
      </c>
      <c r="N223" t="s">
        <v>18</v>
      </c>
    </row>
    <row r="224" spans="1:14" x14ac:dyDescent="0.25">
      <c r="A224">
        <v>13813</v>
      </c>
      <c r="B224" t="s">
        <v>36</v>
      </c>
      <c r="C224" t="s">
        <v>39</v>
      </c>
      <c r="D224" s="1">
        <v>30000</v>
      </c>
      <c r="E224" s="3">
        <v>3</v>
      </c>
      <c r="F224" t="s">
        <v>19</v>
      </c>
      <c r="G224" t="s">
        <v>20</v>
      </c>
      <c r="H224" t="s">
        <v>18</v>
      </c>
      <c r="I224" s="3">
        <v>0</v>
      </c>
      <c r="J224" t="s">
        <v>16</v>
      </c>
      <c r="K224" t="s">
        <v>17</v>
      </c>
      <c r="L224" s="3">
        <v>42</v>
      </c>
      <c r="M224" s="3" t="str" cm="1">
        <f t="array" ref="M224">_xlfn.IFS(
L224&gt;=65,"Retirement Age",
AND(L224&lt;65,L224&gt;=40),"Middle Aged",
AND(L224&lt;40,L224&gt;=30),"In the 30s",
L224&lt;30,"Below 30")</f>
        <v>Middle Aged</v>
      </c>
      <c r="N224" t="s">
        <v>18</v>
      </c>
    </row>
    <row r="225" spans="1:14" x14ac:dyDescent="0.25">
      <c r="A225">
        <v>18711</v>
      </c>
      <c r="B225" t="s">
        <v>37</v>
      </c>
      <c r="C225" t="s">
        <v>39</v>
      </c>
      <c r="D225" s="1">
        <v>70000</v>
      </c>
      <c r="E225" s="3">
        <v>5</v>
      </c>
      <c r="F225" t="s">
        <v>13</v>
      </c>
      <c r="G225" t="s">
        <v>21</v>
      </c>
      <c r="H225" t="s">
        <v>15</v>
      </c>
      <c r="I225" s="3">
        <v>4</v>
      </c>
      <c r="J225" t="s">
        <v>45</v>
      </c>
      <c r="K225" t="s">
        <v>24</v>
      </c>
      <c r="L225" s="3">
        <v>39</v>
      </c>
      <c r="M225" s="3" t="str" cm="1">
        <f t="array" ref="M225">_xlfn.IFS(
L225&gt;=65,"Retirement Age",
AND(L225&lt;65,L225&gt;=40),"Middle Aged",
AND(L225&lt;40,L225&gt;=30),"In the 30s",
L225&lt;30,"Below 30")</f>
        <v>In the 30s</v>
      </c>
      <c r="N225" t="s">
        <v>18</v>
      </c>
    </row>
    <row r="226" spans="1:14" x14ac:dyDescent="0.25">
      <c r="A226">
        <v>19650</v>
      </c>
      <c r="B226" t="s">
        <v>36</v>
      </c>
      <c r="C226" t="s">
        <v>39</v>
      </c>
      <c r="D226" s="1">
        <v>30000</v>
      </c>
      <c r="E226" s="3">
        <v>2</v>
      </c>
      <c r="F226" t="s">
        <v>19</v>
      </c>
      <c r="G226" t="s">
        <v>20</v>
      </c>
      <c r="H226" t="s">
        <v>18</v>
      </c>
      <c r="I226" s="3">
        <v>2</v>
      </c>
      <c r="J226" t="s">
        <v>16</v>
      </c>
      <c r="K226" t="s">
        <v>24</v>
      </c>
      <c r="L226" s="3">
        <v>67</v>
      </c>
      <c r="M226" s="3" t="str" cm="1">
        <f t="array" ref="M226">_xlfn.IFS(
L226&gt;=65,"Retirement Age",
AND(L226&lt;65,L226&gt;=40),"Middle Aged",
AND(L226&lt;40,L226&gt;=30),"In the 30s",
L226&lt;30,"Below 30")</f>
        <v>Retirement Age</v>
      </c>
      <c r="N226" t="s">
        <v>18</v>
      </c>
    </row>
    <row r="227" spans="1:14" x14ac:dyDescent="0.25">
      <c r="A227">
        <v>14135</v>
      </c>
      <c r="B227" t="s">
        <v>36</v>
      </c>
      <c r="C227" t="s">
        <v>38</v>
      </c>
      <c r="D227" s="1">
        <v>20000</v>
      </c>
      <c r="E227" s="3">
        <v>1</v>
      </c>
      <c r="F227" t="s">
        <v>19</v>
      </c>
      <c r="G227" t="s">
        <v>25</v>
      </c>
      <c r="H227" t="s">
        <v>15</v>
      </c>
      <c r="I227" s="3">
        <v>0</v>
      </c>
      <c r="J227" t="s">
        <v>26</v>
      </c>
      <c r="K227" t="s">
        <v>17</v>
      </c>
      <c r="L227" s="3">
        <v>35</v>
      </c>
      <c r="M227" s="3" t="str" cm="1">
        <f t="array" ref="M227">_xlfn.IFS(
L227&gt;=65,"Retirement Age",
AND(L227&lt;65,L227&gt;=40),"Middle Aged",
AND(L227&lt;40,L227&gt;=30),"In the 30s",
L227&lt;30,"Below 30")</f>
        <v>In the 30s</v>
      </c>
      <c r="N227" t="s">
        <v>18</v>
      </c>
    </row>
    <row r="228" spans="1:14" x14ac:dyDescent="0.25">
      <c r="A228">
        <v>12833</v>
      </c>
      <c r="B228" t="s">
        <v>37</v>
      </c>
      <c r="C228" t="s">
        <v>39</v>
      </c>
      <c r="D228" s="1">
        <v>20000</v>
      </c>
      <c r="E228" s="3">
        <v>3</v>
      </c>
      <c r="F228" t="s">
        <v>27</v>
      </c>
      <c r="G228" t="s">
        <v>25</v>
      </c>
      <c r="H228" t="s">
        <v>15</v>
      </c>
      <c r="I228" s="3">
        <v>1</v>
      </c>
      <c r="J228" t="s">
        <v>16</v>
      </c>
      <c r="K228" t="s">
        <v>17</v>
      </c>
      <c r="L228" s="3">
        <v>42</v>
      </c>
      <c r="M228" s="3" t="str" cm="1">
        <f t="array" ref="M228">_xlfn.IFS(
L228&gt;=65,"Retirement Age",
AND(L228&lt;65,L228&gt;=40),"Middle Aged",
AND(L228&lt;40,L228&gt;=30),"In the 30s",
L228&lt;30,"Below 30")</f>
        <v>Middle Aged</v>
      </c>
      <c r="N228" t="s">
        <v>15</v>
      </c>
    </row>
    <row r="229" spans="1:14" x14ac:dyDescent="0.25">
      <c r="A229">
        <v>26849</v>
      </c>
      <c r="B229" t="s">
        <v>36</v>
      </c>
      <c r="C229" t="s">
        <v>38</v>
      </c>
      <c r="D229" s="1">
        <v>10000</v>
      </c>
      <c r="E229" s="3">
        <v>3</v>
      </c>
      <c r="F229" t="s">
        <v>29</v>
      </c>
      <c r="G229" t="s">
        <v>25</v>
      </c>
      <c r="H229" t="s">
        <v>15</v>
      </c>
      <c r="I229" s="3">
        <v>2</v>
      </c>
      <c r="J229" t="s">
        <v>16</v>
      </c>
      <c r="K229" t="s">
        <v>17</v>
      </c>
      <c r="L229" s="3">
        <v>43</v>
      </c>
      <c r="M229" s="3" t="str" cm="1">
        <f t="array" ref="M229">_xlfn.IFS(
L229&gt;=65,"Retirement Age",
AND(L229&lt;65,L229&gt;=40),"Middle Aged",
AND(L229&lt;40,L229&gt;=30),"In the 30s",
L229&lt;30,"Below 30")</f>
        <v>Middle Aged</v>
      </c>
      <c r="N229" t="s">
        <v>18</v>
      </c>
    </row>
    <row r="230" spans="1:14" x14ac:dyDescent="0.25">
      <c r="A230">
        <v>20962</v>
      </c>
      <c r="B230" t="s">
        <v>36</v>
      </c>
      <c r="C230" t="s">
        <v>39</v>
      </c>
      <c r="D230" s="1">
        <v>20000</v>
      </c>
      <c r="E230" s="3">
        <v>1</v>
      </c>
      <c r="F230" t="s">
        <v>31</v>
      </c>
      <c r="G230" t="s">
        <v>20</v>
      </c>
      <c r="H230" t="s">
        <v>15</v>
      </c>
      <c r="I230" s="3">
        <v>0</v>
      </c>
      <c r="J230" t="s">
        <v>16</v>
      </c>
      <c r="K230" t="s">
        <v>17</v>
      </c>
      <c r="L230" s="3">
        <v>45</v>
      </c>
      <c r="M230" s="3" t="str" cm="1">
        <f t="array" ref="M230">_xlfn.IFS(
L230&gt;=65,"Retirement Age",
AND(L230&lt;65,L230&gt;=40),"Middle Aged",
AND(L230&lt;40,L230&gt;=30),"In the 30s",
L230&lt;30,"Below 30")</f>
        <v>Middle Aged</v>
      </c>
      <c r="N230" t="s">
        <v>18</v>
      </c>
    </row>
    <row r="231" spans="1:14" x14ac:dyDescent="0.25">
      <c r="A231">
        <v>28915</v>
      </c>
      <c r="B231" t="s">
        <v>37</v>
      </c>
      <c r="C231" t="s">
        <v>38</v>
      </c>
      <c r="D231" s="1">
        <v>80000</v>
      </c>
      <c r="E231" s="3">
        <v>5</v>
      </c>
      <c r="F231" t="s">
        <v>27</v>
      </c>
      <c r="G231" t="s">
        <v>28</v>
      </c>
      <c r="H231" t="s">
        <v>15</v>
      </c>
      <c r="I231" s="3">
        <v>3</v>
      </c>
      <c r="J231" t="s">
        <v>45</v>
      </c>
      <c r="K231" t="s">
        <v>17</v>
      </c>
      <c r="L231" s="3">
        <v>57</v>
      </c>
      <c r="M231" s="3" t="str" cm="1">
        <f t="array" ref="M231">_xlfn.IFS(
L231&gt;=65,"Retirement Age",
AND(L231&lt;65,L231&gt;=40),"Middle Aged",
AND(L231&lt;40,L231&gt;=30),"In the 30s",
L231&lt;30,"Below 30")</f>
        <v>Middle Aged</v>
      </c>
      <c r="N231" t="s">
        <v>18</v>
      </c>
    </row>
    <row r="232" spans="1:14" x14ac:dyDescent="0.25">
      <c r="A232">
        <v>22830</v>
      </c>
      <c r="B232" t="s">
        <v>36</v>
      </c>
      <c r="C232" t="s">
        <v>38</v>
      </c>
      <c r="D232" s="1">
        <v>120000</v>
      </c>
      <c r="E232" s="3">
        <v>4</v>
      </c>
      <c r="F232" t="s">
        <v>19</v>
      </c>
      <c r="G232" t="s">
        <v>28</v>
      </c>
      <c r="H232" t="s">
        <v>15</v>
      </c>
      <c r="I232" s="3">
        <v>3</v>
      </c>
      <c r="J232" t="s">
        <v>45</v>
      </c>
      <c r="K232" t="s">
        <v>17</v>
      </c>
      <c r="L232" s="3">
        <v>56</v>
      </c>
      <c r="M232" s="3" t="str" cm="1">
        <f t="array" ref="M232">_xlfn.IFS(
L232&gt;=65,"Retirement Age",
AND(L232&lt;65,L232&gt;=40),"Middle Aged",
AND(L232&lt;40,L232&gt;=30),"In the 30s",
L232&lt;30,"Below 30")</f>
        <v>Middle Aged</v>
      </c>
      <c r="N232" t="s">
        <v>18</v>
      </c>
    </row>
    <row r="233" spans="1:14" x14ac:dyDescent="0.25">
      <c r="A233">
        <v>14777</v>
      </c>
      <c r="B233" t="s">
        <v>36</v>
      </c>
      <c r="C233" t="s">
        <v>39</v>
      </c>
      <c r="D233" s="1">
        <v>40000</v>
      </c>
      <c r="E233" s="3">
        <v>0</v>
      </c>
      <c r="F233" t="s">
        <v>13</v>
      </c>
      <c r="G233" t="s">
        <v>20</v>
      </c>
      <c r="H233" t="s">
        <v>15</v>
      </c>
      <c r="I233" s="3">
        <v>0</v>
      </c>
      <c r="J233" t="s">
        <v>16</v>
      </c>
      <c r="K233" t="s">
        <v>17</v>
      </c>
      <c r="L233" s="3">
        <v>38</v>
      </c>
      <c r="M233" s="3" t="str" cm="1">
        <f t="array" ref="M233">_xlfn.IFS(
L233&gt;=65,"Retirement Age",
AND(L233&lt;65,L233&gt;=40),"Middle Aged",
AND(L233&lt;40,L233&gt;=30),"In the 30s",
L233&lt;30,"Below 30")</f>
        <v>In the 30s</v>
      </c>
      <c r="N233" t="s">
        <v>15</v>
      </c>
    </row>
    <row r="234" spans="1:14" x14ac:dyDescent="0.25">
      <c r="A234">
        <v>12591</v>
      </c>
      <c r="B234" t="s">
        <v>36</v>
      </c>
      <c r="C234" t="s">
        <v>39</v>
      </c>
      <c r="D234" s="1">
        <v>30000</v>
      </c>
      <c r="E234" s="3">
        <v>4</v>
      </c>
      <c r="F234" t="s">
        <v>31</v>
      </c>
      <c r="G234" t="s">
        <v>20</v>
      </c>
      <c r="H234" t="s">
        <v>15</v>
      </c>
      <c r="I234" s="3">
        <v>0</v>
      </c>
      <c r="J234" t="s">
        <v>16</v>
      </c>
      <c r="K234" t="s">
        <v>17</v>
      </c>
      <c r="L234" s="3">
        <v>45</v>
      </c>
      <c r="M234" s="3" t="str" cm="1">
        <f t="array" ref="M234">_xlfn.IFS(
L234&gt;=65,"Retirement Age",
AND(L234&lt;65,L234&gt;=40),"Middle Aged",
AND(L234&lt;40,L234&gt;=30),"In the 30s",
L234&lt;30,"Below 30")</f>
        <v>Middle Aged</v>
      </c>
      <c r="N234" t="s">
        <v>18</v>
      </c>
    </row>
    <row r="235" spans="1:14" x14ac:dyDescent="0.25">
      <c r="A235">
        <v>24174</v>
      </c>
      <c r="B235" t="s">
        <v>36</v>
      </c>
      <c r="C235" t="s">
        <v>38</v>
      </c>
      <c r="D235" s="1">
        <v>20000</v>
      </c>
      <c r="E235" s="3">
        <v>0</v>
      </c>
      <c r="F235" t="s">
        <v>13</v>
      </c>
      <c r="G235" t="s">
        <v>20</v>
      </c>
      <c r="H235" t="s">
        <v>15</v>
      </c>
      <c r="I235" s="3">
        <v>0</v>
      </c>
      <c r="J235" t="s">
        <v>16</v>
      </c>
      <c r="K235" t="s">
        <v>24</v>
      </c>
      <c r="L235" s="3">
        <v>27</v>
      </c>
      <c r="M235" s="3" t="str" cm="1">
        <f t="array" ref="M235">_xlfn.IFS(
L235&gt;=65,"Retirement Age",
AND(L235&lt;65,L235&gt;=40),"Middle Aged",
AND(L235&lt;40,L235&gt;=30),"In the 30s",
L235&lt;30,"Below 30")</f>
        <v>Below 30</v>
      </c>
      <c r="N235" t="s">
        <v>15</v>
      </c>
    </row>
    <row r="236" spans="1:14" x14ac:dyDescent="0.25">
      <c r="A236">
        <v>24611</v>
      </c>
      <c r="B236" t="s">
        <v>37</v>
      </c>
      <c r="C236" t="s">
        <v>38</v>
      </c>
      <c r="D236" s="1">
        <v>90000</v>
      </c>
      <c r="E236" s="3">
        <v>0</v>
      </c>
      <c r="F236" t="s">
        <v>13</v>
      </c>
      <c r="G236" t="s">
        <v>21</v>
      </c>
      <c r="H236" t="s">
        <v>18</v>
      </c>
      <c r="I236" s="3">
        <v>4</v>
      </c>
      <c r="J236" t="s">
        <v>45</v>
      </c>
      <c r="K236" t="s">
        <v>24</v>
      </c>
      <c r="L236" s="3">
        <v>35</v>
      </c>
      <c r="M236" s="3" t="str" cm="1">
        <f t="array" ref="M236">_xlfn.IFS(
L236&gt;=65,"Retirement Age",
AND(L236&lt;65,L236&gt;=40),"Middle Aged",
AND(L236&lt;40,L236&gt;=30),"In the 30s",
L236&lt;30,"Below 30")</f>
        <v>In the 30s</v>
      </c>
      <c r="N236" t="s">
        <v>15</v>
      </c>
    </row>
    <row r="237" spans="1:14" x14ac:dyDescent="0.25">
      <c r="A237">
        <v>11340</v>
      </c>
      <c r="B237" t="s">
        <v>36</v>
      </c>
      <c r="C237" t="s">
        <v>39</v>
      </c>
      <c r="D237" s="1">
        <v>10000</v>
      </c>
      <c r="E237" s="3">
        <v>1</v>
      </c>
      <c r="F237" t="s">
        <v>31</v>
      </c>
      <c r="G237" t="s">
        <v>20</v>
      </c>
      <c r="H237" t="s">
        <v>15</v>
      </c>
      <c r="I237" s="3">
        <v>0</v>
      </c>
      <c r="J237" t="s">
        <v>16</v>
      </c>
      <c r="K237" t="s">
        <v>17</v>
      </c>
      <c r="L237" s="3">
        <v>70</v>
      </c>
      <c r="M237" s="3" t="str" cm="1">
        <f t="array" ref="M237">_xlfn.IFS(
L237&gt;=65,"Retirement Age",
AND(L237&lt;65,L237&gt;=40),"Middle Aged",
AND(L237&lt;40,L237&gt;=30),"In the 30s",
L237&lt;30,"Below 30")</f>
        <v>Retirement Age</v>
      </c>
      <c r="N237" t="s">
        <v>15</v>
      </c>
    </row>
    <row r="238" spans="1:14" x14ac:dyDescent="0.25">
      <c r="A238">
        <v>25693</v>
      </c>
      <c r="B238" t="s">
        <v>37</v>
      </c>
      <c r="C238" t="s">
        <v>39</v>
      </c>
      <c r="D238" s="1">
        <v>30000</v>
      </c>
      <c r="E238" s="3">
        <v>5</v>
      </c>
      <c r="F238" t="s">
        <v>31</v>
      </c>
      <c r="G238" t="s">
        <v>20</v>
      </c>
      <c r="H238" t="s">
        <v>15</v>
      </c>
      <c r="I238" s="3">
        <v>0</v>
      </c>
      <c r="J238" t="s">
        <v>16</v>
      </c>
      <c r="K238" t="s">
        <v>17</v>
      </c>
      <c r="L238" s="3">
        <v>44</v>
      </c>
      <c r="M238" s="3" t="str" cm="1">
        <f t="array" ref="M238">_xlfn.IFS(
L238&gt;=65,"Retirement Age",
AND(L238&lt;65,L238&gt;=40),"Middle Aged",
AND(L238&lt;40,L238&gt;=30),"In the 30s",
L238&lt;30,"Below 30")</f>
        <v>Middle Aged</v>
      </c>
      <c r="N238" t="s">
        <v>15</v>
      </c>
    </row>
    <row r="239" spans="1:14" x14ac:dyDescent="0.25">
      <c r="A239">
        <v>25555</v>
      </c>
      <c r="B239" t="s">
        <v>36</v>
      </c>
      <c r="C239" t="s">
        <v>39</v>
      </c>
      <c r="D239" s="1">
        <v>10000</v>
      </c>
      <c r="E239" s="3">
        <v>0</v>
      </c>
      <c r="F239" t="s">
        <v>19</v>
      </c>
      <c r="G239" t="s">
        <v>25</v>
      </c>
      <c r="H239" t="s">
        <v>18</v>
      </c>
      <c r="I239" s="3">
        <v>1</v>
      </c>
      <c r="J239" t="s">
        <v>16</v>
      </c>
      <c r="K239" t="s">
        <v>24</v>
      </c>
      <c r="L239" s="3">
        <v>26</v>
      </c>
      <c r="M239" s="3" t="str" cm="1">
        <f t="array" ref="M239">_xlfn.IFS(
L239&gt;=65,"Retirement Age",
AND(L239&lt;65,L239&gt;=40),"Middle Aged",
AND(L239&lt;40,L239&gt;=30),"In the 30s",
L239&lt;30,"Below 30")</f>
        <v>Below 30</v>
      </c>
      <c r="N239" t="s">
        <v>15</v>
      </c>
    </row>
    <row r="240" spans="1:14" x14ac:dyDescent="0.25">
      <c r="A240">
        <v>22006</v>
      </c>
      <c r="B240" t="s">
        <v>36</v>
      </c>
      <c r="C240" t="s">
        <v>38</v>
      </c>
      <c r="D240" s="1">
        <v>70000</v>
      </c>
      <c r="E240" s="3">
        <v>5</v>
      </c>
      <c r="F240" t="s">
        <v>19</v>
      </c>
      <c r="G240" t="s">
        <v>14</v>
      </c>
      <c r="H240" t="s">
        <v>15</v>
      </c>
      <c r="I240" s="3">
        <v>3</v>
      </c>
      <c r="J240" t="s">
        <v>23</v>
      </c>
      <c r="K240" t="s">
        <v>24</v>
      </c>
      <c r="L240" s="3">
        <v>46</v>
      </c>
      <c r="M240" s="3" t="str" cm="1">
        <f t="array" ref="M240">_xlfn.IFS(
L240&gt;=65,"Retirement Age",
AND(L240&lt;65,L240&gt;=40),"Middle Aged",
AND(L240&lt;40,L240&gt;=30),"In the 30s",
L240&lt;30,"Below 30")</f>
        <v>Middle Aged</v>
      </c>
      <c r="N240" t="s">
        <v>18</v>
      </c>
    </row>
    <row r="241" spans="1:14" x14ac:dyDescent="0.25">
      <c r="A241">
        <v>20060</v>
      </c>
      <c r="B241" t="s">
        <v>37</v>
      </c>
      <c r="C241" t="s">
        <v>39</v>
      </c>
      <c r="D241" s="1">
        <v>30000</v>
      </c>
      <c r="E241" s="3">
        <v>0</v>
      </c>
      <c r="F241" t="s">
        <v>27</v>
      </c>
      <c r="G241" t="s">
        <v>25</v>
      </c>
      <c r="H241" t="s">
        <v>18</v>
      </c>
      <c r="I241" s="3">
        <v>1</v>
      </c>
      <c r="J241" t="s">
        <v>22</v>
      </c>
      <c r="K241" t="s">
        <v>17</v>
      </c>
      <c r="L241" s="3">
        <v>34</v>
      </c>
      <c r="M241" s="3" t="str" cm="1">
        <f t="array" ref="M241">_xlfn.IFS(
L241&gt;=65,"Retirement Age",
AND(L241&lt;65,L241&gt;=40),"Middle Aged",
AND(L241&lt;40,L241&gt;=30),"In the 30s",
L241&lt;30,"Below 30")</f>
        <v>In the 30s</v>
      </c>
      <c r="N241" t="s">
        <v>15</v>
      </c>
    </row>
    <row r="242" spans="1:14" x14ac:dyDescent="0.25">
      <c r="A242">
        <v>17702</v>
      </c>
      <c r="B242" t="s">
        <v>36</v>
      </c>
      <c r="C242" t="s">
        <v>38</v>
      </c>
      <c r="D242" s="1">
        <v>10000</v>
      </c>
      <c r="E242" s="3">
        <v>1</v>
      </c>
      <c r="F242" t="s">
        <v>31</v>
      </c>
      <c r="G242" t="s">
        <v>25</v>
      </c>
      <c r="H242" t="s">
        <v>15</v>
      </c>
      <c r="I242" s="3">
        <v>0</v>
      </c>
      <c r="J242" t="s">
        <v>16</v>
      </c>
      <c r="K242" t="s">
        <v>17</v>
      </c>
      <c r="L242" s="3">
        <v>37</v>
      </c>
      <c r="M242" s="3" t="str" cm="1">
        <f t="array" ref="M242">_xlfn.IFS(
L242&gt;=65,"Retirement Age",
AND(L242&lt;65,L242&gt;=40),"Middle Aged",
AND(L242&lt;40,L242&gt;=30),"In the 30s",
L242&lt;30,"Below 30")</f>
        <v>In the 30s</v>
      </c>
      <c r="N242" t="s">
        <v>18</v>
      </c>
    </row>
    <row r="243" spans="1:14" x14ac:dyDescent="0.25">
      <c r="A243">
        <v>12503</v>
      </c>
      <c r="B243" t="s">
        <v>37</v>
      </c>
      <c r="C243" t="s">
        <v>39</v>
      </c>
      <c r="D243" s="1">
        <v>30000</v>
      </c>
      <c r="E243" s="3">
        <v>3</v>
      </c>
      <c r="F243" t="s">
        <v>19</v>
      </c>
      <c r="G243" t="s">
        <v>20</v>
      </c>
      <c r="H243" t="s">
        <v>15</v>
      </c>
      <c r="I243" s="3">
        <v>2</v>
      </c>
      <c r="J243" t="s">
        <v>16</v>
      </c>
      <c r="K243" t="s">
        <v>17</v>
      </c>
      <c r="L243" s="3">
        <v>27</v>
      </c>
      <c r="M243" s="3" t="str" cm="1">
        <f t="array" ref="M243">_xlfn.IFS(
L243&gt;=65,"Retirement Age",
AND(L243&lt;65,L243&gt;=40),"Middle Aged",
AND(L243&lt;40,L243&gt;=30),"In the 30s",
L243&lt;30,"Below 30")</f>
        <v>Below 30</v>
      </c>
      <c r="N243" t="s">
        <v>18</v>
      </c>
    </row>
    <row r="244" spans="1:14" x14ac:dyDescent="0.25">
      <c r="A244">
        <v>23908</v>
      </c>
      <c r="B244" t="s">
        <v>37</v>
      </c>
      <c r="C244" t="s">
        <v>38</v>
      </c>
      <c r="D244" s="1">
        <v>30000</v>
      </c>
      <c r="E244" s="3">
        <v>1</v>
      </c>
      <c r="F244" t="s">
        <v>13</v>
      </c>
      <c r="G244" t="s">
        <v>20</v>
      </c>
      <c r="H244" t="s">
        <v>18</v>
      </c>
      <c r="I244" s="3">
        <v>1</v>
      </c>
      <c r="J244" t="s">
        <v>16</v>
      </c>
      <c r="K244" t="s">
        <v>17</v>
      </c>
      <c r="L244" s="3">
        <v>39</v>
      </c>
      <c r="M244" s="3" t="str" cm="1">
        <f t="array" ref="M244">_xlfn.IFS(
L244&gt;=65,"Retirement Age",
AND(L244&lt;65,L244&gt;=40),"Middle Aged",
AND(L244&lt;40,L244&gt;=30),"In the 30s",
L244&lt;30,"Below 30")</f>
        <v>In the 30s</v>
      </c>
      <c r="N244" t="s">
        <v>15</v>
      </c>
    </row>
    <row r="245" spans="1:14" x14ac:dyDescent="0.25">
      <c r="A245">
        <v>22527</v>
      </c>
      <c r="B245" t="s">
        <v>37</v>
      </c>
      <c r="C245" t="s">
        <v>39</v>
      </c>
      <c r="D245" s="1">
        <v>20000</v>
      </c>
      <c r="E245" s="3">
        <v>0</v>
      </c>
      <c r="F245" t="s">
        <v>27</v>
      </c>
      <c r="G245" t="s">
        <v>25</v>
      </c>
      <c r="H245" t="s">
        <v>18</v>
      </c>
      <c r="I245" s="3">
        <v>1</v>
      </c>
      <c r="J245" t="s">
        <v>22</v>
      </c>
      <c r="K245" t="s">
        <v>17</v>
      </c>
      <c r="L245" s="3">
        <v>29</v>
      </c>
      <c r="M245" s="3" t="str" cm="1">
        <f t="array" ref="M245">_xlfn.IFS(
L245&gt;=65,"Retirement Age",
AND(L245&lt;65,L245&gt;=40),"Middle Aged",
AND(L245&lt;40,L245&gt;=30),"In the 30s",
L245&lt;30,"Below 30")</f>
        <v>Below 30</v>
      </c>
      <c r="N245" t="s">
        <v>18</v>
      </c>
    </row>
    <row r="246" spans="1:14" x14ac:dyDescent="0.25">
      <c r="A246">
        <v>19057</v>
      </c>
      <c r="B246" t="s">
        <v>36</v>
      </c>
      <c r="C246" t="s">
        <v>39</v>
      </c>
      <c r="D246" s="1">
        <v>120000</v>
      </c>
      <c r="E246" s="3">
        <v>3</v>
      </c>
      <c r="F246" t="s">
        <v>13</v>
      </c>
      <c r="G246" t="s">
        <v>28</v>
      </c>
      <c r="H246" t="s">
        <v>18</v>
      </c>
      <c r="I246" s="3">
        <v>2</v>
      </c>
      <c r="J246" t="s">
        <v>45</v>
      </c>
      <c r="K246" t="s">
        <v>17</v>
      </c>
      <c r="L246" s="3">
        <v>52</v>
      </c>
      <c r="M246" s="3" t="str" cm="1">
        <f t="array" ref="M246">_xlfn.IFS(
L246&gt;=65,"Retirement Age",
AND(L246&lt;65,L246&gt;=40),"Middle Aged",
AND(L246&lt;40,L246&gt;=30),"In the 30s",
L246&lt;30,"Below 30")</f>
        <v>Middle Aged</v>
      </c>
      <c r="N246" t="s">
        <v>15</v>
      </c>
    </row>
    <row r="247" spans="1:14" x14ac:dyDescent="0.25">
      <c r="A247">
        <v>18494</v>
      </c>
      <c r="B247" t="s">
        <v>36</v>
      </c>
      <c r="C247" t="s">
        <v>38</v>
      </c>
      <c r="D247" s="1">
        <v>110000</v>
      </c>
      <c r="E247" s="3">
        <v>5</v>
      </c>
      <c r="F247" t="s">
        <v>13</v>
      </c>
      <c r="G247" t="s">
        <v>28</v>
      </c>
      <c r="H247" t="s">
        <v>15</v>
      </c>
      <c r="I247" s="3">
        <v>4</v>
      </c>
      <c r="J247" t="s">
        <v>22</v>
      </c>
      <c r="K247" t="s">
        <v>24</v>
      </c>
      <c r="L247" s="3">
        <v>48</v>
      </c>
      <c r="M247" s="3" t="str" cm="1">
        <f t="array" ref="M247">_xlfn.IFS(
L247&gt;=65,"Retirement Age",
AND(L247&lt;65,L247&gt;=40),"Middle Aged",
AND(L247&lt;40,L247&gt;=30),"In the 30s",
L247&lt;30,"Below 30")</f>
        <v>Middle Aged</v>
      </c>
      <c r="N247" t="s">
        <v>15</v>
      </c>
    </row>
    <row r="248" spans="1:14" x14ac:dyDescent="0.25">
      <c r="A248">
        <v>11249</v>
      </c>
      <c r="B248" t="s">
        <v>36</v>
      </c>
      <c r="C248" t="s">
        <v>39</v>
      </c>
      <c r="D248" s="1">
        <v>130000</v>
      </c>
      <c r="E248" s="3">
        <v>3</v>
      </c>
      <c r="F248" t="s">
        <v>19</v>
      </c>
      <c r="G248" t="s">
        <v>21</v>
      </c>
      <c r="H248" t="s">
        <v>15</v>
      </c>
      <c r="I248" s="3">
        <v>3</v>
      </c>
      <c r="J248" t="s">
        <v>16</v>
      </c>
      <c r="K248" t="s">
        <v>17</v>
      </c>
      <c r="L248" s="3">
        <v>51</v>
      </c>
      <c r="M248" s="3" t="str" cm="1">
        <f t="array" ref="M248">_xlfn.IFS(
L248&gt;=65,"Retirement Age",
AND(L248&lt;65,L248&gt;=40),"Middle Aged",
AND(L248&lt;40,L248&gt;=30),"In the 30s",
L248&lt;30,"Below 30")</f>
        <v>Middle Aged</v>
      </c>
      <c r="N248" t="s">
        <v>15</v>
      </c>
    </row>
    <row r="249" spans="1:14" x14ac:dyDescent="0.25">
      <c r="A249">
        <v>21568</v>
      </c>
      <c r="B249" t="s">
        <v>36</v>
      </c>
      <c r="C249" t="s">
        <v>39</v>
      </c>
      <c r="D249" s="1">
        <v>100000</v>
      </c>
      <c r="E249" s="3">
        <v>0</v>
      </c>
      <c r="F249" t="s">
        <v>27</v>
      </c>
      <c r="G249" t="s">
        <v>28</v>
      </c>
      <c r="H249" t="s">
        <v>15</v>
      </c>
      <c r="I249" s="3">
        <v>4</v>
      </c>
      <c r="J249" t="s">
        <v>45</v>
      </c>
      <c r="K249" t="s">
        <v>24</v>
      </c>
      <c r="L249" s="3">
        <v>34</v>
      </c>
      <c r="M249" s="3" t="str" cm="1">
        <f t="array" ref="M249">_xlfn.IFS(
L249&gt;=65,"Retirement Age",
AND(L249&lt;65,L249&gt;=40),"Middle Aged",
AND(L249&lt;40,L249&gt;=30),"In the 30s",
L249&lt;30,"Below 30")</f>
        <v>In the 30s</v>
      </c>
      <c r="N249" t="s">
        <v>15</v>
      </c>
    </row>
    <row r="250" spans="1:14" x14ac:dyDescent="0.25">
      <c r="A250">
        <v>13981</v>
      </c>
      <c r="B250" t="s">
        <v>36</v>
      </c>
      <c r="C250" t="s">
        <v>39</v>
      </c>
      <c r="D250" s="1">
        <v>10000</v>
      </c>
      <c r="E250" s="3">
        <v>5</v>
      </c>
      <c r="F250" t="s">
        <v>27</v>
      </c>
      <c r="G250" t="s">
        <v>14</v>
      </c>
      <c r="H250" t="s">
        <v>18</v>
      </c>
      <c r="I250" s="3">
        <v>3</v>
      </c>
      <c r="J250" t="s">
        <v>26</v>
      </c>
      <c r="K250" t="s">
        <v>24</v>
      </c>
      <c r="L250" s="3">
        <v>62</v>
      </c>
      <c r="M250" s="3" t="str" cm="1">
        <f t="array" ref="M250">_xlfn.IFS(
L250&gt;=65,"Retirement Age",
AND(L250&lt;65,L250&gt;=40),"Middle Aged",
AND(L250&lt;40,L250&gt;=30),"In the 30s",
L250&lt;30,"Below 30")</f>
        <v>Middle Aged</v>
      </c>
      <c r="N250" t="s">
        <v>18</v>
      </c>
    </row>
    <row r="251" spans="1:14" x14ac:dyDescent="0.25">
      <c r="A251">
        <v>23432</v>
      </c>
      <c r="B251" t="s">
        <v>37</v>
      </c>
      <c r="C251" t="s">
        <v>38</v>
      </c>
      <c r="D251" s="1">
        <v>70000</v>
      </c>
      <c r="E251" s="3">
        <v>0</v>
      </c>
      <c r="F251" t="s">
        <v>13</v>
      </c>
      <c r="G251" t="s">
        <v>21</v>
      </c>
      <c r="H251" t="s">
        <v>15</v>
      </c>
      <c r="I251" s="3">
        <v>1</v>
      </c>
      <c r="J251" t="s">
        <v>23</v>
      </c>
      <c r="K251" t="s">
        <v>24</v>
      </c>
      <c r="L251" s="3">
        <v>37</v>
      </c>
      <c r="M251" s="3" t="str" cm="1">
        <f t="array" ref="M251">_xlfn.IFS(
L251&gt;=65,"Retirement Age",
AND(L251&lt;65,L251&gt;=40),"Middle Aged",
AND(L251&lt;40,L251&gt;=30),"In the 30s",
L251&lt;30,"Below 30")</f>
        <v>In the 30s</v>
      </c>
      <c r="N251" t="s">
        <v>15</v>
      </c>
    </row>
    <row r="252" spans="1:14" x14ac:dyDescent="0.25">
      <c r="A252">
        <v>22931</v>
      </c>
      <c r="B252" t="s">
        <v>36</v>
      </c>
      <c r="C252" t="s">
        <v>38</v>
      </c>
      <c r="D252" s="1">
        <v>100000</v>
      </c>
      <c r="E252" s="3">
        <v>5</v>
      </c>
      <c r="F252" t="s">
        <v>31</v>
      </c>
      <c r="G252" t="s">
        <v>28</v>
      </c>
      <c r="H252" t="s">
        <v>18</v>
      </c>
      <c r="I252" s="3">
        <v>1</v>
      </c>
      <c r="J252" t="s">
        <v>26</v>
      </c>
      <c r="K252" t="s">
        <v>24</v>
      </c>
      <c r="L252" s="3">
        <v>78</v>
      </c>
      <c r="M252" s="3" t="str" cm="1">
        <f t="array" ref="M252">_xlfn.IFS(
L252&gt;=65,"Retirement Age",
AND(L252&lt;65,L252&gt;=40),"Middle Aged",
AND(L252&lt;40,L252&gt;=30),"In the 30s",
L252&lt;30,"Below 30")</f>
        <v>Retirement Age</v>
      </c>
      <c r="N252" t="s">
        <v>15</v>
      </c>
    </row>
    <row r="253" spans="1:14" x14ac:dyDescent="0.25">
      <c r="A253">
        <v>18172</v>
      </c>
      <c r="B253" t="s">
        <v>36</v>
      </c>
      <c r="C253" t="s">
        <v>38</v>
      </c>
      <c r="D253" s="1">
        <v>130000</v>
      </c>
      <c r="E253" s="3">
        <v>4</v>
      </c>
      <c r="F253" t="s">
        <v>27</v>
      </c>
      <c r="G253" t="s">
        <v>21</v>
      </c>
      <c r="H253" t="s">
        <v>15</v>
      </c>
      <c r="I253" s="3">
        <v>3</v>
      </c>
      <c r="J253" t="s">
        <v>16</v>
      </c>
      <c r="K253" t="s">
        <v>17</v>
      </c>
      <c r="L253" s="3">
        <v>55</v>
      </c>
      <c r="M253" s="3" t="str" cm="1">
        <f t="array" ref="M253">_xlfn.IFS(
L253&gt;=65,"Retirement Age",
AND(L253&lt;65,L253&gt;=40),"Middle Aged",
AND(L253&lt;40,L253&gt;=30),"In the 30s",
L253&lt;30,"Below 30")</f>
        <v>Middle Aged</v>
      </c>
      <c r="N253" t="s">
        <v>18</v>
      </c>
    </row>
    <row r="254" spans="1:14" x14ac:dyDescent="0.25">
      <c r="A254">
        <v>12666</v>
      </c>
      <c r="B254" t="s">
        <v>37</v>
      </c>
      <c r="C254" t="s">
        <v>38</v>
      </c>
      <c r="D254" s="1">
        <v>60000</v>
      </c>
      <c r="E254" s="3">
        <v>0</v>
      </c>
      <c r="F254" t="s">
        <v>13</v>
      </c>
      <c r="G254" t="s">
        <v>21</v>
      </c>
      <c r="H254" t="s">
        <v>18</v>
      </c>
      <c r="I254" s="3">
        <v>4</v>
      </c>
      <c r="J254" t="s">
        <v>22</v>
      </c>
      <c r="K254" t="s">
        <v>24</v>
      </c>
      <c r="L254" s="3">
        <v>31</v>
      </c>
      <c r="M254" s="3" t="str" cm="1">
        <f t="array" ref="M254">_xlfn.IFS(
L254&gt;=65,"Retirement Age",
AND(L254&lt;65,L254&gt;=40),"Middle Aged",
AND(L254&lt;40,L254&gt;=30),"In the 30s",
L254&lt;30,"Below 30")</f>
        <v>In the 30s</v>
      </c>
      <c r="N254" t="s">
        <v>18</v>
      </c>
    </row>
    <row r="255" spans="1:14" x14ac:dyDescent="0.25">
      <c r="A255">
        <v>20598</v>
      </c>
      <c r="B255" t="s">
        <v>36</v>
      </c>
      <c r="C255" t="s">
        <v>38</v>
      </c>
      <c r="D255" s="1">
        <v>100000</v>
      </c>
      <c r="E255" s="3">
        <v>3</v>
      </c>
      <c r="F255" t="s">
        <v>29</v>
      </c>
      <c r="G255" t="s">
        <v>21</v>
      </c>
      <c r="H255" t="s">
        <v>15</v>
      </c>
      <c r="I255" s="3">
        <v>0</v>
      </c>
      <c r="J255" t="s">
        <v>45</v>
      </c>
      <c r="K255" t="s">
        <v>17</v>
      </c>
      <c r="L255" s="3">
        <v>59</v>
      </c>
      <c r="M255" s="3" t="str" cm="1">
        <f t="array" ref="M255">_xlfn.IFS(
L255&gt;=65,"Retirement Age",
AND(L255&lt;65,L255&gt;=40),"Middle Aged",
AND(L255&lt;40,L255&gt;=30),"In the 30s",
L255&lt;30,"Below 30")</f>
        <v>Middle Aged</v>
      </c>
      <c r="N255" t="s">
        <v>15</v>
      </c>
    </row>
    <row r="256" spans="1:14" x14ac:dyDescent="0.25">
      <c r="A256">
        <v>21375</v>
      </c>
      <c r="B256" t="s">
        <v>37</v>
      </c>
      <c r="C256" t="s">
        <v>38</v>
      </c>
      <c r="D256" s="1">
        <v>20000</v>
      </c>
      <c r="E256" s="3">
        <v>2</v>
      </c>
      <c r="F256" t="s">
        <v>29</v>
      </c>
      <c r="G256" t="s">
        <v>20</v>
      </c>
      <c r="H256" t="s">
        <v>15</v>
      </c>
      <c r="I256" s="3">
        <v>2</v>
      </c>
      <c r="J256" t="s">
        <v>23</v>
      </c>
      <c r="K256" t="s">
        <v>24</v>
      </c>
      <c r="L256" s="3">
        <v>57</v>
      </c>
      <c r="M256" s="3" t="str" cm="1">
        <f t="array" ref="M256">_xlfn.IFS(
L256&gt;=65,"Retirement Age",
AND(L256&lt;65,L256&gt;=40),"Middle Aged",
AND(L256&lt;40,L256&gt;=30),"In the 30s",
L256&lt;30,"Below 30")</f>
        <v>Middle Aged</v>
      </c>
      <c r="N256" t="s">
        <v>18</v>
      </c>
    </row>
    <row r="257" spans="1:14" x14ac:dyDescent="0.25">
      <c r="A257">
        <v>20839</v>
      </c>
      <c r="B257" t="s">
        <v>37</v>
      </c>
      <c r="C257" t="s">
        <v>39</v>
      </c>
      <c r="D257" s="1">
        <v>30000</v>
      </c>
      <c r="E257" s="3">
        <v>3</v>
      </c>
      <c r="F257" t="s">
        <v>31</v>
      </c>
      <c r="G257" t="s">
        <v>20</v>
      </c>
      <c r="H257" t="s">
        <v>15</v>
      </c>
      <c r="I257" s="3">
        <v>0</v>
      </c>
      <c r="J257" t="s">
        <v>16</v>
      </c>
      <c r="K257" t="s">
        <v>17</v>
      </c>
      <c r="L257" s="3">
        <v>47</v>
      </c>
      <c r="M257" s="3" t="str" cm="1">
        <f t="array" ref="M257">_xlfn.IFS(
L257&gt;=65,"Retirement Age",
AND(L257&lt;65,L257&gt;=40),"Middle Aged",
AND(L257&lt;40,L257&gt;=30),"In the 30s",
L257&lt;30,"Below 30")</f>
        <v>Middle Aged</v>
      </c>
      <c r="N257" t="s">
        <v>15</v>
      </c>
    </row>
    <row r="258" spans="1:14" x14ac:dyDescent="0.25">
      <c r="A258">
        <v>21738</v>
      </c>
      <c r="B258" t="s">
        <v>36</v>
      </c>
      <c r="C258" t="s">
        <v>38</v>
      </c>
      <c r="D258" s="1">
        <v>20000</v>
      </c>
      <c r="E258" s="3">
        <v>1</v>
      </c>
      <c r="F258" t="s">
        <v>31</v>
      </c>
      <c r="G258" t="s">
        <v>20</v>
      </c>
      <c r="H258" t="s">
        <v>15</v>
      </c>
      <c r="I258" s="3">
        <v>0</v>
      </c>
      <c r="J258" t="s">
        <v>16</v>
      </c>
      <c r="K258" t="s">
        <v>17</v>
      </c>
      <c r="L258" s="3">
        <v>43</v>
      </c>
      <c r="M258" s="3" t="str" cm="1">
        <f t="array" ref="M258">_xlfn.IFS(
L258&gt;=65,"Retirement Age",
AND(L258&lt;65,L258&gt;=40),"Middle Aged",
AND(L258&lt;40,L258&gt;=30),"In the 30s",
L258&lt;30,"Below 30")</f>
        <v>Middle Aged</v>
      </c>
      <c r="N258" t="s">
        <v>18</v>
      </c>
    </row>
    <row r="259" spans="1:14" x14ac:dyDescent="0.25">
      <c r="A259">
        <v>14164</v>
      </c>
      <c r="B259" t="s">
        <v>37</v>
      </c>
      <c r="C259" t="s">
        <v>39</v>
      </c>
      <c r="D259" s="1">
        <v>50000</v>
      </c>
      <c r="E259" s="3">
        <v>0</v>
      </c>
      <c r="F259" t="s">
        <v>31</v>
      </c>
      <c r="G259" t="s">
        <v>14</v>
      </c>
      <c r="H259" t="s">
        <v>15</v>
      </c>
      <c r="I259" s="3">
        <v>0</v>
      </c>
      <c r="J259" t="s">
        <v>16</v>
      </c>
      <c r="K259" t="s">
        <v>17</v>
      </c>
      <c r="L259" s="3">
        <v>36</v>
      </c>
      <c r="M259" s="3" t="str" cm="1">
        <f t="array" ref="M259">_xlfn.IFS(
L259&gt;=65,"Retirement Age",
AND(L259&lt;65,L259&gt;=40),"Middle Aged",
AND(L259&lt;40,L259&gt;=30),"In the 30s",
L259&lt;30,"Below 30")</f>
        <v>In the 30s</v>
      </c>
      <c r="N259" t="s">
        <v>15</v>
      </c>
    </row>
    <row r="260" spans="1:14" x14ac:dyDescent="0.25">
      <c r="A260">
        <v>14193</v>
      </c>
      <c r="B260" t="s">
        <v>37</v>
      </c>
      <c r="C260" t="s">
        <v>39</v>
      </c>
      <c r="D260" s="1">
        <v>100000</v>
      </c>
      <c r="E260" s="3">
        <v>3</v>
      </c>
      <c r="F260" t="s">
        <v>19</v>
      </c>
      <c r="G260" t="s">
        <v>28</v>
      </c>
      <c r="H260" t="s">
        <v>15</v>
      </c>
      <c r="I260" s="3">
        <v>4</v>
      </c>
      <c r="J260" t="s">
        <v>45</v>
      </c>
      <c r="K260" t="s">
        <v>17</v>
      </c>
      <c r="L260" s="3">
        <v>56</v>
      </c>
      <c r="M260" s="3" t="str" cm="1">
        <f t="array" ref="M260">_xlfn.IFS(
L260&gt;=65,"Retirement Age",
AND(L260&lt;65,L260&gt;=40),"Middle Aged",
AND(L260&lt;40,L260&gt;=30),"In the 30s",
L260&lt;30,"Below 30")</f>
        <v>Middle Aged</v>
      </c>
      <c r="N260" t="s">
        <v>18</v>
      </c>
    </row>
    <row r="261" spans="1:14" x14ac:dyDescent="0.25">
      <c r="A261">
        <v>12705</v>
      </c>
      <c r="B261" t="s">
        <v>36</v>
      </c>
      <c r="C261" t="s">
        <v>38</v>
      </c>
      <c r="D261" s="1">
        <v>150000</v>
      </c>
      <c r="E261" s="3">
        <v>0</v>
      </c>
      <c r="F261" t="s">
        <v>13</v>
      </c>
      <c r="G261" t="s">
        <v>28</v>
      </c>
      <c r="H261" t="s">
        <v>15</v>
      </c>
      <c r="I261" s="3">
        <v>4</v>
      </c>
      <c r="J261" t="s">
        <v>16</v>
      </c>
      <c r="K261" t="s">
        <v>24</v>
      </c>
      <c r="L261" s="3">
        <v>37</v>
      </c>
      <c r="M261" s="3" t="str" cm="1">
        <f t="array" ref="M261">_xlfn.IFS(
L261&gt;=65,"Retirement Age",
AND(L261&lt;65,L261&gt;=40),"Middle Aged",
AND(L261&lt;40,L261&gt;=30),"In the 30s",
L261&lt;30,"Below 30")</f>
        <v>In the 30s</v>
      </c>
      <c r="N261" t="s">
        <v>15</v>
      </c>
    </row>
    <row r="262" spans="1:14" x14ac:dyDescent="0.25">
      <c r="A262">
        <v>22672</v>
      </c>
      <c r="B262" t="s">
        <v>37</v>
      </c>
      <c r="C262" t="s">
        <v>39</v>
      </c>
      <c r="D262" s="1">
        <v>30000</v>
      </c>
      <c r="E262" s="3">
        <v>2</v>
      </c>
      <c r="F262" t="s">
        <v>19</v>
      </c>
      <c r="G262" t="s">
        <v>20</v>
      </c>
      <c r="H262" t="s">
        <v>15</v>
      </c>
      <c r="I262" s="3">
        <v>0</v>
      </c>
      <c r="J262" t="s">
        <v>16</v>
      </c>
      <c r="K262" t="s">
        <v>17</v>
      </c>
      <c r="L262" s="3">
        <v>43</v>
      </c>
      <c r="M262" s="3" t="str" cm="1">
        <f t="array" ref="M262">_xlfn.IFS(
L262&gt;=65,"Retirement Age",
AND(L262&lt;65,L262&gt;=40),"Middle Aged",
AND(L262&lt;40,L262&gt;=30),"In the 30s",
L262&lt;30,"Below 30")</f>
        <v>Middle Aged</v>
      </c>
      <c r="N262" t="s">
        <v>18</v>
      </c>
    </row>
    <row r="263" spans="1:14" x14ac:dyDescent="0.25">
      <c r="A263">
        <v>26219</v>
      </c>
      <c r="B263" t="s">
        <v>36</v>
      </c>
      <c r="C263" t="s">
        <v>39</v>
      </c>
      <c r="D263" s="1">
        <v>40000</v>
      </c>
      <c r="E263" s="3">
        <v>1</v>
      </c>
      <c r="F263" t="s">
        <v>13</v>
      </c>
      <c r="G263" t="s">
        <v>14</v>
      </c>
      <c r="H263" t="s">
        <v>15</v>
      </c>
      <c r="I263" s="3">
        <v>1</v>
      </c>
      <c r="J263" t="s">
        <v>26</v>
      </c>
      <c r="K263" t="s">
        <v>17</v>
      </c>
      <c r="L263" s="3">
        <v>33</v>
      </c>
      <c r="M263" s="3" t="str" cm="1">
        <f t="array" ref="M263">_xlfn.IFS(
L263&gt;=65,"Retirement Age",
AND(L263&lt;65,L263&gt;=40),"Middle Aged",
AND(L263&lt;40,L263&gt;=30),"In the 30s",
L263&lt;30,"Below 30")</f>
        <v>In the 30s</v>
      </c>
      <c r="N263" t="s">
        <v>15</v>
      </c>
    </row>
    <row r="264" spans="1:14" x14ac:dyDescent="0.25">
      <c r="A264">
        <v>28468</v>
      </c>
      <c r="B264" t="s">
        <v>36</v>
      </c>
      <c r="C264" t="s">
        <v>39</v>
      </c>
      <c r="D264" s="1">
        <v>10000</v>
      </c>
      <c r="E264" s="3">
        <v>2</v>
      </c>
      <c r="F264" t="s">
        <v>19</v>
      </c>
      <c r="G264" t="s">
        <v>25</v>
      </c>
      <c r="H264" t="s">
        <v>15</v>
      </c>
      <c r="I264" s="3">
        <v>0</v>
      </c>
      <c r="J264" t="s">
        <v>26</v>
      </c>
      <c r="K264" t="s">
        <v>17</v>
      </c>
      <c r="L264" s="3">
        <v>51</v>
      </c>
      <c r="M264" s="3" t="str" cm="1">
        <f t="array" ref="M264">_xlfn.IFS(
L264&gt;=65,"Retirement Age",
AND(L264&lt;65,L264&gt;=40),"Middle Aged",
AND(L264&lt;40,L264&gt;=30),"In the 30s",
L264&lt;30,"Below 30")</f>
        <v>Middle Aged</v>
      </c>
      <c r="N264" t="s">
        <v>18</v>
      </c>
    </row>
    <row r="265" spans="1:14" x14ac:dyDescent="0.25">
      <c r="A265">
        <v>23419</v>
      </c>
      <c r="B265" t="s">
        <v>37</v>
      </c>
      <c r="C265" t="s">
        <v>39</v>
      </c>
      <c r="D265" s="1">
        <v>70000</v>
      </c>
      <c r="E265" s="3">
        <v>5</v>
      </c>
      <c r="F265" t="s">
        <v>13</v>
      </c>
      <c r="G265" t="s">
        <v>21</v>
      </c>
      <c r="H265" t="s">
        <v>15</v>
      </c>
      <c r="I265" s="3">
        <v>3</v>
      </c>
      <c r="J265" t="s">
        <v>45</v>
      </c>
      <c r="K265" t="s">
        <v>24</v>
      </c>
      <c r="L265" s="3">
        <v>39</v>
      </c>
      <c r="M265" s="3" t="str" cm="1">
        <f t="array" ref="M265">_xlfn.IFS(
L265&gt;=65,"Retirement Age",
AND(L265&lt;65,L265&gt;=40),"Middle Aged",
AND(L265&lt;40,L265&gt;=30),"In the 30s",
L265&lt;30,"Below 30")</f>
        <v>In the 30s</v>
      </c>
      <c r="N265" t="s">
        <v>18</v>
      </c>
    </row>
    <row r="266" spans="1:14" x14ac:dyDescent="0.25">
      <c r="A266">
        <v>17964</v>
      </c>
      <c r="B266" t="s">
        <v>36</v>
      </c>
      <c r="C266" t="s">
        <v>38</v>
      </c>
      <c r="D266" s="1">
        <v>40000</v>
      </c>
      <c r="E266" s="3">
        <v>0</v>
      </c>
      <c r="F266" t="s">
        <v>31</v>
      </c>
      <c r="G266" t="s">
        <v>20</v>
      </c>
      <c r="H266" t="s">
        <v>15</v>
      </c>
      <c r="I266" s="3">
        <v>0</v>
      </c>
      <c r="J266" t="s">
        <v>16</v>
      </c>
      <c r="K266" t="s">
        <v>17</v>
      </c>
      <c r="L266" s="3">
        <v>37</v>
      </c>
      <c r="M266" s="3" t="str" cm="1">
        <f t="array" ref="M266">_xlfn.IFS(
L266&gt;=65,"Retirement Age",
AND(L266&lt;65,L266&gt;=40),"Middle Aged",
AND(L266&lt;40,L266&gt;=30),"In the 30s",
L266&lt;30,"Below 30")</f>
        <v>In the 30s</v>
      </c>
      <c r="N266" t="s">
        <v>15</v>
      </c>
    </row>
    <row r="267" spans="1:14" x14ac:dyDescent="0.25">
      <c r="A267">
        <v>20919</v>
      </c>
      <c r="B267" t="s">
        <v>37</v>
      </c>
      <c r="C267" t="s">
        <v>39</v>
      </c>
      <c r="D267" s="1">
        <v>30000</v>
      </c>
      <c r="E267" s="3">
        <v>2</v>
      </c>
      <c r="F267" t="s">
        <v>19</v>
      </c>
      <c r="G267" t="s">
        <v>20</v>
      </c>
      <c r="H267" t="s">
        <v>15</v>
      </c>
      <c r="I267" s="3">
        <v>2</v>
      </c>
      <c r="J267" t="s">
        <v>16</v>
      </c>
      <c r="K267" t="s">
        <v>17</v>
      </c>
      <c r="L267" s="3">
        <v>42</v>
      </c>
      <c r="M267" s="3" t="str" cm="1">
        <f t="array" ref="M267">_xlfn.IFS(
L267&gt;=65,"Retirement Age",
AND(L267&lt;65,L267&gt;=40),"Middle Aged",
AND(L267&lt;40,L267&gt;=30),"In the 30s",
L267&lt;30,"Below 30")</f>
        <v>Middle Aged</v>
      </c>
      <c r="N267" t="s">
        <v>18</v>
      </c>
    </row>
    <row r="268" spans="1:14" x14ac:dyDescent="0.25">
      <c r="A268">
        <v>20927</v>
      </c>
      <c r="B268" t="s">
        <v>37</v>
      </c>
      <c r="C268" t="s">
        <v>39</v>
      </c>
      <c r="D268" s="1">
        <v>20000</v>
      </c>
      <c r="E268" s="3">
        <v>5</v>
      </c>
      <c r="F268" t="s">
        <v>27</v>
      </c>
      <c r="G268" t="s">
        <v>25</v>
      </c>
      <c r="H268" t="s">
        <v>15</v>
      </c>
      <c r="I268" s="3">
        <v>2</v>
      </c>
      <c r="J268" t="s">
        <v>16</v>
      </c>
      <c r="K268" t="s">
        <v>17</v>
      </c>
      <c r="L268" s="3">
        <v>27</v>
      </c>
      <c r="M268" s="3" t="str" cm="1">
        <f t="array" ref="M268">_xlfn.IFS(
L268&gt;=65,"Retirement Age",
AND(L268&lt;65,L268&gt;=40),"Middle Aged",
AND(L268&lt;40,L268&gt;=30),"In the 30s",
L268&lt;30,"Below 30")</f>
        <v>Below 30</v>
      </c>
      <c r="N268" t="s">
        <v>18</v>
      </c>
    </row>
    <row r="269" spans="1:14" x14ac:dyDescent="0.25">
      <c r="A269">
        <v>13133</v>
      </c>
      <c r="B269" t="s">
        <v>37</v>
      </c>
      <c r="C269" t="s">
        <v>38</v>
      </c>
      <c r="D269" s="1">
        <v>100000</v>
      </c>
      <c r="E269" s="3">
        <v>5</v>
      </c>
      <c r="F269" t="s">
        <v>13</v>
      </c>
      <c r="G269" t="s">
        <v>21</v>
      </c>
      <c r="H269" t="s">
        <v>15</v>
      </c>
      <c r="I269" s="3">
        <v>1</v>
      </c>
      <c r="J269" t="s">
        <v>23</v>
      </c>
      <c r="K269" t="s">
        <v>24</v>
      </c>
      <c r="L269" s="3">
        <v>47</v>
      </c>
      <c r="M269" s="3" t="str" cm="1">
        <f t="array" ref="M269">_xlfn.IFS(
L269&gt;=65,"Retirement Age",
AND(L269&lt;65,L269&gt;=40),"Middle Aged",
AND(L269&lt;40,L269&gt;=30),"In the 30s",
L269&lt;30,"Below 30")</f>
        <v>Middle Aged</v>
      </c>
      <c r="N269" t="s">
        <v>15</v>
      </c>
    </row>
    <row r="270" spans="1:14" x14ac:dyDescent="0.25">
      <c r="A270">
        <v>19626</v>
      </c>
      <c r="B270" t="s">
        <v>36</v>
      </c>
      <c r="C270" t="s">
        <v>38</v>
      </c>
      <c r="D270" s="1">
        <v>70000</v>
      </c>
      <c r="E270" s="3">
        <v>5</v>
      </c>
      <c r="F270" t="s">
        <v>19</v>
      </c>
      <c r="G270" t="s">
        <v>14</v>
      </c>
      <c r="H270" t="s">
        <v>15</v>
      </c>
      <c r="I270" s="3">
        <v>3</v>
      </c>
      <c r="J270" t="s">
        <v>23</v>
      </c>
      <c r="K270" t="s">
        <v>24</v>
      </c>
      <c r="L270" s="3">
        <v>45</v>
      </c>
      <c r="M270" s="3" t="str" cm="1">
        <f t="array" ref="M270">_xlfn.IFS(
L270&gt;=65,"Retirement Age",
AND(L270&lt;65,L270&gt;=40),"Middle Aged",
AND(L270&lt;40,L270&gt;=30),"In the 30s",
L270&lt;30,"Below 30")</f>
        <v>Middle Aged</v>
      </c>
      <c r="N270" t="s">
        <v>18</v>
      </c>
    </row>
    <row r="271" spans="1:14" x14ac:dyDescent="0.25">
      <c r="A271">
        <v>21039</v>
      </c>
      <c r="B271" t="s">
        <v>37</v>
      </c>
      <c r="C271" t="s">
        <v>39</v>
      </c>
      <c r="D271" s="1">
        <v>50000</v>
      </c>
      <c r="E271" s="3">
        <v>0</v>
      </c>
      <c r="F271" t="s">
        <v>31</v>
      </c>
      <c r="G271" t="s">
        <v>14</v>
      </c>
      <c r="H271" t="s">
        <v>18</v>
      </c>
      <c r="I271" s="3">
        <v>0</v>
      </c>
      <c r="J271" t="s">
        <v>16</v>
      </c>
      <c r="K271" t="s">
        <v>17</v>
      </c>
      <c r="L271" s="3">
        <v>37</v>
      </c>
      <c r="M271" s="3" t="str" cm="1">
        <f t="array" ref="M271">_xlfn.IFS(
L271&gt;=65,"Retirement Age",
AND(L271&lt;65,L271&gt;=40),"Middle Aged",
AND(L271&lt;40,L271&gt;=30),"In the 30s",
L271&lt;30,"Below 30")</f>
        <v>In the 30s</v>
      </c>
      <c r="N271" t="s">
        <v>15</v>
      </c>
    </row>
    <row r="272" spans="1:14" x14ac:dyDescent="0.25">
      <c r="A272">
        <v>12231</v>
      </c>
      <c r="B272" t="s">
        <v>37</v>
      </c>
      <c r="C272" t="s">
        <v>39</v>
      </c>
      <c r="D272" s="1">
        <v>10000</v>
      </c>
      <c r="E272" s="3">
        <v>2</v>
      </c>
      <c r="F272" t="s">
        <v>19</v>
      </c>
      <c r="G272" t="s">
        <v>25</v>
      </c>
      <c r="H272" t="s">
        <v>15</v>
      </c>
      <c r="I272" s="3">
        <v>0</v>
      </c>
      <c r="J272" t="s">
        <v>16</v>
      </c>
      <c r="K272" t="s">
        <v>17</v>
      </c>
      <c r="L272" s="3">
        <v>51</v>
      </c>
      <c r="M272" s="3" t="str" cm="1">
        <f t="array" ref="M272">_xlfn.IFS(
L272&gt;=65,"Retirement Age",
AND(L272&lt;65,L272&gt;=40),"Middle Aged",
AND(L272&lt;40,L272&gt;=30),"In the 30s",
L272&lt;30,"Below 30")</f>
        <v>Middle Aged</v>
      </c>
      <c r="N272" t="s">
        <v>15</v>
      </c>
    </row>
    <row r="273" spans="1:14" x14ac:dyDescent="0.25">
      <c r="A273">
        <v>25665</v>
      </c>
      <c r="B273" t="s">
        <v>37</v>
      </c>
      <c r="C273" t="s">
        <v>39</v>
      </c>
      <c r="D273" s="1">
        <v>20000</v>
      </c>
      <c r="E273" s="3">
        <v>0</v>
      </c>
      <c r="F273" t="s">
        <v>27</v>
      </c>
      <c r="G273" t="s">
        <v>25</v>
      </c>
      <c r="H273" t="s">
        <v>18</v>
      </c>
      <c r="I273" s="3">
        <v>1</v>
      </c>
      <c r="J273" t="s">
        <v>26</v>
      </c>
      <c r="K273" t="s">
        <v>17</v>
      </c>
      <c r="L273" s="3">
        <v>28</v>
      </c>
      <c r="M273" s="3" t="str" cm="1">
        <f t="array" ref="M273">_xlfn.IFS(
L273&gt;=65,"Retirement Age",
AND(L273&lt;65,L273&gt;=40),"Middle Aged",
AND(L273&lt;40,L273&gt;=30),"In the 30s",
L273&lt;30,"Below 30")</f>
        <v>Below 30</v>
      </c>
      <c r="N273" t="s">
        <v>18</v>
      </c>
    </row>
    <row r="274" spans="1:14" x14ac:dyDescent="0.25">
      <c r="A274">
        <v>24061</v>
      </c>
      <c r="B274" t="s">
        <v>36</v>
      </c>
      <c r="C274" t="s">
        <v>38</v>
      </c>
      <c r="D274" s="1">
        <v>10000</v>
      </c>
      <c r="E274" s="3">
        <v>4</v>
      </c>
      <c r="F274" t="s">
        <v>29</v>
      </c>
      <c r="G274" t="s">
        <v>25</v>
      </c>
      <c r="H274" t="s">
        <v>15</v>
      </c>
      <c r="I274" s="3">
        <v>1</v>
      </c>
      <c r="J274" t="s">
        <v>16</v>
      </c>
      <c r="K274" t="s">
        <v>17</v>
      </c>
      <c r="L274" s="3">
        <v>40</v>
      </c>
      <c r="M274" s="3" t="str" cm="1">
        <f t="array" ref="M274">_xlfn.IFS(
L274&gt;=65,"Retirement Age",
AND(L274&lt;65,L274&gt;=40),"Middle Aged",
AND(L274&lt;40,L274&gt;=30),"In the 30s",
L274&lt;30,"Below 30")</f>
        <v>Middle Aged</v>
      </c>
      <c r="N274" t="s">
        <v>15</v>
      </c>
    </row>
    <row r="275" spans="1:14" x14ac:dyDescent="0.25">
      <c r="A275">
        <v>26879</v>
      </c>
      <c r="B275" t="s">
        <v>37</v>
      </c>
      <c r="C275" t="s">
        <v>39</v>
      </c>
      <c r="D275" s="1">
        <v>20000</v>
      </c>
      <c r="E275" s="3">
        <v>0</v>
      </c>
      <c r="F275" t="s">
        <v>27</v>
      </c>
      <c r="G275" t="s">
        <v>25</v>
      </c>
      <c r="H275" t="s">
        <v>18</v>
      </c>
      <c r="I275" s="3">
        <v>1</v>
      </c>
      <c r="J275" t="s">
        <v>22</v>
      </c>
      <c r="K275" t="s">
        <v>17</v>
      </c>
      <c r="L275" s="3">
        <v>30</v>
      </c>
      <c r="M275" s="3" t="str" cm="1">
        <f t="array" ref="M275">_xlfn.IFS(
L275&gt;=65,"Retirement Age",
AND(L275&lt;65,L275&gt;=40),"Middle Aged",
AND(L275&lt;40,L275&gt;=30),"In the 30s",
L275&lt;30,"Below 30")</f>
        <v>In the 30s</v>
      </c>
      <c r="N275" t="s">
        <v>18</v>
      </c>
    </row>
    <row r="276" spans="1:14" x14ac:dyDescent="0.25">
      <c r="A276">
        <v>12284</v>
      </c>
      <c r="B276" t="s">
        <v>36</v>
      </c>
      <c r="C276" t="s">
        <v>39</v>
      </c>
      <c r="D276" s="1">
        <v>30000</v>
      </c>
      <c r="E276" s="3">
        <v>0</v>
      </c>
      <c r="F276" t="s">
        <v>13</v>
      </c>
      <c r="G276" t="s">
        <v>20</v>
      </c>
      <c r="H276" t="s">
        <v>18</v>
      </c>
      <c r="I276" s="3">
        <v>0</v>
      </c>
      <c r="J276" t="s">
        <v>16</v>
      </c>
      <c r="K276" t="s">
        <v>17</v>
      </c>
      <c r="L276" s="3">
        <v>36</v>
      </c>
      <c r="M276" s="3" t="str" cm="1">
        <f t="array" ref="M276">_xlfn.IFS(
L276&gt;=65,"Retirement Age",
AND(L276&lt;65,L276&gt;=40),"Middle Aged",
AND(L276&lt;40,L276&gt;=30),"In the 30s",
L276&lt;30,"Below 30")</f>
        <v>In the 30s</v>
      </c>
      <c r="N276" t="s">
        <v>15</v>
      </c>
    </row>
    <row r="277" spans="1:14" x14ac:dyDescent="0.25">
      <c r="A277">
        <v>26654</v>
      </c>
      <c r="B277" t="s">
        <v>36</v>
      </c>
      <c r="C277" t="s">
        <v>39</v>
      </c>
      <c r="D277" s="1">
        <v>90000</v>
      </c>
      <c r="E277" s="3">
        <v>1</v>
      </c>
      <c r="F277" t="s">
        <v>31</v>
      </c>
      <c r="G277" t="s">
        <v>28</v>
      </c>
      <c r="H277" t="s">
        <v>15</v>
      </c>
      <c r="I277" s="3">
        <v>0</v>
      </c>
      <c r="J277" t="s">
        <v>16</v>
      </c>
      <c r="K277" t="s">
        <v>24</v>
      </c>
      <c r="L277" s="3">
        <v>37</v>
      </c>
      <c r="M277" s="3" t="str" cm="1">
        <f t="array" ref="M277">_xlfn.IFS(
L277&gt;=65,"Retirement Age",
AND(L277&lt;65,L277&gt;=40),"Middle Aged",
AND(L277&lt;40,L277&gt;=30),"In the 30s",
L277&lt;30,"Below 30")</f>
        <v>In the 30s</v>
      </c>
      <c r="N277" t="s">
        <v>15</v>
      </c>
    </row>
    <row r="278" spans="1:14" x14ac:dyDescent="0.25">
      <c r="A278">
        <v>14545</v>
      </c>
      <c r="B278" t="s">
        <v>36</v>
      </c>
      <c r="C278" t="s">
        <v>39</v>
      </c>
      <c r="D278" s="1">
        <v>10000</v>
      </c>
      <c r="E278" s="3">
        <v>2</v>
      </c>
      <c r="F278" t="s">
        <v>19</v>
      </c>
      <c r="G278" t="s">
        <v>25</v>
      </c>
      <c r="H278" t="s">
        <v>15</v>
      </c>
      <c r="I278" s="3">
        <v>0</v>
      </c>
      <c r="J278" t="s">
        <v>26</v>
      </c>
      <c r="K278" t="s">
        <v>17</v>
      </c>
      <c r="L278" s="3">
        <v>49</v>
      </c>
      <c r="M278" s="3" t="str" cm="1">
        <f t="array" ref="M278">_xlfn.IFS(
L278&gt;=65,"Retirement Age",
AND(L278&lt;65,L278&gt;=40),"Middle Aged",
AND(L278&lt;40,L278&gt;=30),"In the 30s",
L278&lt;30,"Below 30")</f>
        <v>Middle Aged</v>
      </c>
      <c r="N278" t="s">
        <v>18</v>
      </c>
    </row>
    <row r="279" spans="1:14" x14ac:dyDescent="0.25">
      <c r="A279">
        <v>24201</v>
      </c>
      <c r="B279" t="s">
        <v>36</v>
      </c>
      <c r="C279" t="s">
        <v>39</v>
      </c>
      <c r="D279" s="1">
        <v>10000</v>
      </c>
      <c r="E279" s="3">
        <v>2</v>
      </c>
      <c r="F279" t="s">
        <v>27</v>
      </c>
      <c r="G279" t="s">
        <v>25</v>
      </c>
      <c r="H279" t="s">
        <v>15</v>
      </c>
      <c r="I279" s="3">
        <v>0</v>
      </c>
      <c r="J279" t="s">
        <v>16</v>
      </c>
      <c r="K279" t="s">
        <v>17</v>
      </c>
      <c r="L279" s="3">
        <v>37</v>
      </c>
      <c r="M279" s="3" t="str" cm="1">
        <f t="array" ref="M279">_xlfn.IFS(
L279&gt;=65,"Retirement Age",
AND(L279&lt;65,L279&gt;=40),"Middle Aged",
AND(L279&lt;40,L279&gt;=30),"In the 30s",
L279&lt;30,"Below 30")</f>
        <v>In the 30s</v>
      </c>
      <c r="N279" t="s">
        <v>15</v>
      </c>
    </row>
    <row r="280" spans="1:14" x14ac:dyDescent="0.25">
      <c r="A280">
        <v>20625</v>
      </c>
      <c r="B280" t="s">
        <v>36</v>
      </c>
      <c r="C280" t="s">
        <v>38</v>
      </c>
      <c r="D280" s="1">
        <v>100000</v>
      </c>
      <c r="E280" s="3">
        <v>0</v>
      </c>
      <c r="F280" t="s">
        <v>27</v>
      </c>
      <c r="G280" t="s">
        <v>28</v>
      </c>
      <c r="H280" t="s">
        <v>15</v>
      </c>
      <c r="I280" s="3">
        <v>3</v>
      </c>
      <c r="J280" t="s">
        <v>45</v>
      </c>
      <c r="K280" t="s">
        <v>24</v>
      </c>
      <c r="L280" s="3">
        <v>35</v>
      </c>
      <c r="M280" s="3" t="str" cm="1">
        <f t="array" ref="M280">_xlfn.IFS(
L280&gt;=65,"Retirement Age",
AND(L280&lt;65,L280&gt;=40),"Middle Aged",
AND(L280&lt;40,L280&gt;=30),"In the 30s",
L280&lt;30,"Below 30")</f>
        <v>In the 30s</v>
      </c>
      <c r="N280" t="s">
        <v>15</v>
      </c>
    </row>
    <row r="281" spans="1:14" x14ac:dyDescent="0.25">
      <c r="A281">
        <v>16390</v>
      </c>
      <c r="B281" t="s">
        <v>37</v>
      </c>
      <c r="C281" t="s">
        <v>38</v>
      </c>
      <c r="D281" s="1">
        <v>30000</v>
      </c>
      <c r="E281" s="3">
        <v>1</v>
      </c>
      <c r="F281" t="s">
        <v>13</v>
      </c>
      <c r="G281" t="s">
        <v>20</v>
      </c>
      <c r="H281" t="s">
        <v>18</v>
      </c>
      <c r="I281" s="3">
        <v>0</v>
      </c>
      <c r="J281" t="s">
        <v>16</v>
      </c>
      <c r="K281" t="s">
        <v>17</v>
      </c>
      <c r="L281" s="3">
        <v>38</v>
      </c>
      <c r="M281" s="3" t="str" cm="1">
        <f t="array" ref="M281">_xlfn.IFS(
L281&gt;=65,"Retirement Age",
AND(L281&lt;65,L281&gt;=40),"Middle Aged",
AND(L281&lt;40,L281&gt;=30),"In the 30s",
L281&lt;30,"Below 30")</f>
        <v>In the 30s</v>
      </c>
      <c r="N281" t="s">
        <v>15</v>
      </c>
    </row>
    <row r="282" spans="1:14" x14ac:dyDescent="0.25">
      <c r="A282">
        <v>14804</v>
      </c>
      <c r="B282" t="s">
        <v>37</v>
      </c>
      <c r="C282" t="s">
        <v>39</v>
      </c>
      <c r="D282" s="1">
        <v>10000</v>
      </c>
      <c r="E282" s="3">
        <v>3</v>
      </c>
      <c r="F282" t="s">
        <v>29</v>
      </c>
      <c r="G282" t="s">
        <v>25</v>
      </c>
      <c r="H282" t="s">
        <v>15</v>
      </c>
      <c r="I282" s="3">
        <v>2</v>
      </c>
      <c r="J282" t="s">
        <v>16</v>
      </c>
      <c r="K282" t="s">
        <v>17</v>
      </c>
      <c r="L282" s="3">
        <v>43</v>
      </c>
      <c r="M282" s="3" t="str" cm="1">
        <f t="array" ref="M282">_xlfn.IFS(
L282&gt;=65,"Retirement Age",
AND(L282&lt;65,L282&gt;=40),"Middle Aged",
AND(L282&lt;40,L282&gt;=30),"In the 30s",
L282&lt;30,"Below 30")</f>
        <v>Middle Aged</v>
      </c>
      <c r="N282" t="s">
        <v>18</v>
      </c>
    </row>
    <row r="283" spans="1:14" x14ac:dyDescent="0.25">
      <c r="A283">
        <v>12629</v>
      </c>
      <c r="B283" t="s">
        <v>37</v>
      </c>
      <c r="C283" t="s">
        <v>38</v>
      </c>
      <c r="D283" s="1">
        <v>20000</v>
      </c>
      <c r="E283" s="3">
        <v>1</v>
      </c>
      <c r="F283" t="s">
        <v>19</v>
      </c>
      <c r="G283" t="s">
        <v>25</v>
      </c>
      <c r="H283" t="s">
        <v>18</v>
      </c>
      <c r="I283" s="3">
        <v>0</v>
      </c>
      <c r="J283" t="s">
        <v>16</v>
      </c>
      <c r="K283" t="s">
        <v>17</v>
      </c>
      <c r="L283" s="3">
        <v>37</v>
      </c>
      <c r="M283" s="3" t="str" cm="1">
        <f t="array" ref="M283">_xlfn.IFS(
L283&gt;=65,"Retirement Age",
AND(L283&lt;65,L283&gt;=40),"Middle Aged",
AND(L283&lt;40,L283&gt;=30),"In the 30s",
L283&lt;30,"Below 30")</f>
        <v>In the 30s</v>
      </c>
      <c r="N283" t="s">
        <v>18</v>
      </c>
    </row>
    <row r="284" spans="1:14" x14ac:dyDescent="0.25">
      <c r="A284">
        <v>14696</v>
      </c>
      <c r="B284" t="s">
        <v>37</v>
      </c>
      <c r="C284" t="s">
        <v>38</v>
      </c>
      <c r="D284" s="1">
        <v>10000</v>
      </c>
      <c r="E284" s="3">
        <v>0</v>
      </c>
      <c r="F284" t="s">
        <v>29</v>
      </c>
      <c r="G284" t="s">
        <v>25</v>
      </c>
      <c r="H284" t="s">
        <v>18</v>
      </c>
      <c r="I284" s="3">
        <v>2</v>
      </c>
      <c r="J284" t="s">
        <v>16</v>
      </c>
      <c r="K284" t="s">
        <v>17</v>
      </c>
      <c r="L284" s="3">
        <v>34</v>
      </c>
      <c r="M284" s="3" t="str" cm="1">
        <f t="array" ref="M284">_xlfn.IFS(
L284&gt;=65,"Retirement Age",
AND(L284&lt;65,L284&gt;=40),"Middle Aged",
AND(L284&lt;40,L284&gt;=30),"In the 30s",
L284&lt;30,"Below 30")</f>
        <v>In the 30s</v>
      </c>
      <c r="N284" t="s">
        <v>18</v>
      </c>
    </row>
    <row r="285" spans="1:14" x14ac:dyDescent="0.25">
      <c r="A285">
        <v>22005</v>
      </c>
      <c r="B285" t="s">
        <v>36</v>
      </c>
      <c r="C285" t="s">
        <v>39</v>
      </c>
      <c r="D285" s="1">
        <v>70000</v>
      </c>
      <c r="E285" s="3">
        <v>5</v>
      </c>
      <c r="F285" t="s">
        <v>19</v>
      </c>
      <c r="G285" t="s">
        <v>14</v>
      </c>
      <c r="H285" t="s">
        <v>18</v>
      </c>
      <c r="I285" s="3">
        <v>3</v>
      </c>
      <c r="J285" t="s">
        <v>23</v>
      </c>
      <c r="K285" t="s">
        <v>24</v>
      </c>
      <c r="L285" s="3">
        <v>46</v>
      </c>
      <c r="M285" s="3" t="str" cm="1">
        <f t="array" ref="M285">_xlfn.IFS(
L285&gt;=65,"Retirement Age",
AND(L285&lt;65,L285&gt;=40),"Middle Aged",
AND(L285&lt;40,L285&gt;=30),"In the 30s",
L285&lt;30,"Below 30")</f>
        <v>Middle Aged</v>
      </c>
      <c r="N285" t="s">
        <v>18</v>
      </c>
    </row>
    <row r="286" spans="1:14" x14ac:dyDescent="0.25">
      <c r="A286">
        <v>14544</v>
      </c>
      <c r="B286" t="s">
        <v>37</v>
      </c>
      <c r="C286" t="s">
        <v>38</v>
      </c>
      <c r="D286" s="1">
        <v>10000</v>
      </c>
      <c r="E286" s="3">
        <v>1</v>
      </c>
      <c r="F286" t="s">
        <v>19</v>
      </c>
      <c r="G286" t="s">
        <v>25</v>
      </c>
      <c r="H286" t="s">
        <v>15</v>
      </c>
      <c r="I286" s="3">
        <v>0</v>
      </c>
      <c r="J286" t="s">
        <v>16</v>
      </c>
      <c r="K286" t="s">
        <v>17</v>
      </c>
      <c r="L286" s="3">
        <v>49</v>
      </c>
      <c r="M286" s="3" t="str" cm="1">
        <f t="array" ref="M286">_xlfn.IFS(
L286&gt;=65,"Retirement Age",
AND(L286&lt;65,L286&gt;=40),"Middle Aged",
AND(L286&lt;40,L286&gt;=30),"In the 30s",
L286&lt;30,"Below 30")</f>
        <v>Middle Aged</v>
      </c>
      <c r="N286" t="s">
        <v>18</v>
      </c>
    </row>
    <row r="287" spans="1:14" x14ac:dyDescent="0.25">
      <c r="A287">
        <v>14312</v>
      </c>
      <c r="B287" t="s">
        <v>36</v>
      </c>
      <c r="C287" t="s">
        <v>39</v>
      </c>
      <c r="D287" s="1">
        <v>60000</v>
      </c>
      <c r="E287" s="3">
        <v>1</v>
      </c>
      <c r="F287" t="s">
        <v>19</v>
      </c>
      <c r="G287" t="s">
        <v>14</v>
      </c>
      <c r="H287" t="s">
        <v>15</v>
      </c>
      <c r="I287" s="3">
        <v>1</v>
      </c>
      <c r="J287" t="s">
        <v>23</v>
      </c>
      <c r="K287" t="s">
        <v>24</v>
      </c>
      <c r="L287" s="3">
        <v>45</v>
      </c>
      <c r="M287" s="3" t="str" cm="1">
        <f t="array" ref="M287">_xlfn.IFS(
L287&gt;=65,"Retirement Age",
AND(L287&lt;65,L287&gt;=40),"Middle Aged",
AND(L287&lt;40,L287&gt;=30),"In the 30s",
L287&lt;30,"Below 30")</f>
        <v>Middle Aged</v>
      </c>
      <c r="N287" t="s">
        <v>18</v>
      </c>
    </row>
    <row r="288" spans="1:14" x14ac:dyDescent="0.25">
      <c r="A288">
        <v>29120</v>
      </c>
      <c r="B288" t="s">
        <v>37</v>
      </c>
      <c r="C288" t="s">
        <v>39</v>
      </c>
      <c r="D288" s="1">
        <v>100000</v>
      </c>
      <c r="E288" s="3">
        <v>1</v>
      </c>
      <c r="F288" t="s">
        <v>13</v>
      </c>
      <c r="G288" t="s">
        <v>28</v>
      </c>
      <c r="H288" t="s">
        <v>15</v>
      </c>
      <c r="I288" s="3">
        <v>4</v>
      </c>
      <c r="J288" t="s">
        <v>22</v>
      </c>
      <c r="K288" t="s">
        <v>24</v>
      </c>
      <c r="L288" s="3">
        <v>48</v>
      </c>
      <c r="M288" s="3" t="str" cm="1">
        <f t="array" ref="M288">_xlfn.IFS(
L288&gt;=65,"Retirement Age",
AND(L288&lt;65,L288&gt;=40),"Middle Aged",
AND(L288&lt;40,L288&gt;=30),"In the 30s",
L288&lt;30,"Below 30")</f>
        <v>Middle Aged</v>
      </c>
      <c r="N288" t="s">
        <v>18</v>
      </c>
    </row>
    <row r="289" spans="1:14" x14ac:dyDescent="0.25">
      <c r="A289">
        <v>24187</v>
      </c>
      <c r="B289" t="s">
        <v>37</v>
      </c>
      <c r="C289" t="s">
        <v>39</v>
      </c>
      <c r="D289" s="1">
        <v>30000</v>
      </c>
      <c r="E289" s="3">
        <v>3</v>
      </c>
      <c r="F289" t="s">
        <v>31</v>
      </c>
      <c r="G289" t="s">
        <v>20</v>
      </c>
      <c r="H289" t="s">
        <v>18</v>
      </c>
      <c r="I289" s="3">
        <v>0</v>
      </c>
      <c r="J289" t="s">
        <v>16</v>
      </c>
      <c r="K289" t="s">
        <v>17</v>
      </c>
      <c r="L289" s="3">
        <v>46</v>
      </c>
      <c r="M289" s="3" t="str" cm="1">
        <f t="array" ref="M289">_xlfn.IFS(
L289&gt;=65,"Retirement Age",
AND(L289&lt;65,L289&gt;=40),"Middle Aged",
AND(L289&lt;40,L289&gt;=30),"In the 30s",
L289&lt;30,"Below 30")</f>
        <v>Middle Aged</v>
      </c>
      <c r="N289" t="s">
        <v>15</v>
      </c>
    </row>
    <row r="290" spans="1:14" x14ac:dyDescent="0.25">
      <c r="A290">
        <v>15758</v>
      </c>
      <c r="B290" t="s">
        <v>36</v>
      </c>
      <c r="C290" t="s">
        <v>38</v>
      </c>
      <c r="D290" s="1">
        <v>130000</v>
      </c>
      <c r="E290" s="3">
        <v>0</v>
      </c>
      <c r="F290" t="s">
        <v>31</v>
      </c>
      <c r="G290" t="s">
        <v>28</v>
      </c>
      <c r="H290" t="s">
        <v>15</v>
      </c>
      <c r="I290" s="3">
        <v>0</v>
      </c>
      <c r="J290" t="s">
        <v>23</v>
      </c>
      <c r="K290" t="s">
        <v>24</v>
      </c>
      <c r="L290" s="3">
        <v>48</v>
      </c>
      <c r="M290" s="3" t="str" cm="1">
        <f t="array" ref="M290">_xlfn.IFS(
L290&gt;=65,"Retirement Age",
AND(L290&lt;65,L290&gt;=40),"Middle Aged",
AND(L290&lt;40,L290&gt;=30),"In the 30s",
L290&lt;30,"Below 30")</f>
        <v>Middle Aged</v>
      </c>
      <c r="N290" t="s">
        <v>18</v>
      </c>
    </row>
    <row r="291" spans="1:14" x14ac:dyDescent="0.25">
      <c r="A291">
        <v>29094</v>
      </c>
      <c r="B291" t="s">
        <v>36</v>
      </c>
      <c r="C291" t="s">
        <v>38</v>
      </c>
      <c r="D291" s="1">
        <v>30000</v>
      </c>
      <c r="E291" s="3">
        <v>3</v>
      </c>
      <c r="F291" t="s">
        <v>27</v>
      </c>
      <c r="G291" t="s">
        <v>14</v>
      </c>
      <c r="H291" t="s">
        <v>15</v>
      </c>
      <c r="I291" s="3">
        <v>2</v>
      </c>
      <c r="J291" t="s">
        <v>23</v>
      </c>
      <c r="K291" t="s">
        <v>24</v>
      </c>
      <c r="L291" s="3">
        <v>54</v>
      </c>
      <c r="M291" s="3" t="str" cm="1">
        <f t="array" ref="M291">_xlfn.IFS(
L291&gt;=65,"Retirement Age",
AND(L291&lt;65,L291&gt;=40),"Middle Aged",
AND(L291&lt;40,L291&gt;=30),"In the 30s",
L291&lt;30,"Below 30")</f>
        <v>Middle Aged</v>
      </c>
      <c r="N291" t="s">
        <v>15</v>
      </c>
    </row>
    <row r="292" spans="1:14" x14ac:dyDescent="0.25">
      <c r="A292">
        <v>28319</v>
      </c>
      <c r="B292" t="s">
        <v>37</v>
      </c>
      <c r="C292" t="s">
        <v>39</v>
      </c>
      <c r="D292" s="1">
        <v>60000</v>
      </c>
      <c r="E292" s="3">
        <v>1</v>
      </c>
      <c r="F292" t="s">
        <v>19</v>
      </c>
      <c r="G292" t="s">
        <v>14</v>
      </c>
      <c r="H292" t="s">
        <v>18</v>
      </c>
      <c r="I292" s="3">
        <v>1</v>
      </c>
      <c r="J292" t="s">
        <v>16</v>
      </c>
      <c r="K292" t="s">
        <v>24</v>
      </c>
      <c r="L292" s="3">
        <v>46</v>
      </c>
      <c r="M292" s="3" t="str" cm="1">
        <f t="array" ref="M292">_xlfn.IFS(
L292&gt;=65,"Retirement Age",
AND(L292&lt;65,L292&gt;=40),"Middle Aged",
AND(L292&lt;40,L292&gt;=30),"In the 30s",
L292&lt;30,"Below 30")</f>
        <v>Middle Aged</v>
      </c>
      <c r="N292" t="s">
        <v>15</v>
      </c>
    </row>
    <row r="293" spans="1:14" x14ac:dyDescent="0.25">
      <c r="A293">
        <v>16406</v>
      </c>
      <c r="B293" t="s">
        <v>36</v>
      </c>
      <c r="C293" t="s">
        <v>38</v>
      </c>
      <c r="D293" s="1">
        <v>40000</v>
      </c>
      <c r="E293" s="3">
        <v>0</v>
      </c>
      <c r="F293" t="s">
        <v>13</v>
      </c>
      <c r="G293" t="s">
        <v>20</v>
      </c>
      <c r="H293" t="s">
        <v>18</v>
      </c>
      <c r="I293" s="3">
        <v>0</v>
      </c>
      <c r="J293" t="s">
        <v>16</v>
      </c>
      <c r="K293" t="s">
        <v>17</v>
      </c>
      <c r="L293" s="3">
        <v>38</v>
      </c>
      <c r="M293" s="3" t="str" cm="1">
        <f t="array" ref="M293">_xlfn.IFS(
L293&gt;=65,"Retirement Age",
AND(L293&lt;65,L293&gt;=40),"Middle Aged",
AND(L293&lt;40,L293&gt;=30),"In the 30s",
L293&lt;30,"Below 30")</f>
        <v>In the 30s</v>
      </c>
      <c r="N293" t="s">
        <v>15</v>
      </c>
    </row>
    <row r="294" spans="1:14" x14ac:dyDescent="0.25">
      <c r="A294">
        <v>20923</v>
      </c>
      <c r="B294" t="s">
        <v>36</v>
      </c>
      <c r="C294" t="s">
        <v>39</v>
      </c>
      <c r="D294" s="1">
        <v>40000</v>
      </c>
      <c r="E294" s="3">
        <v>1</v>
      </c>
      <c r="F294" t="s">
        <v>13</v>
      </c>
      <c r="G294" t="s">
        <v>14</v>
      </c>
      <c r="H294" t="s">
        <v>15</v>
      </c>
      <c r="I294" s="3">
        <v>0</v>
      </c>
      <c r="J294" t="s">
        <v>16</v>
      </c>
      <c r="K294" t="s">
        <v>17</v>
      </c>
      <c r="L294" s="3">
        <v>42</v>
      </c>
      <c r="M294" s="3" t="str" cm="1">
        <f t="array" ref="M294">_xlfn.IFS(
L294&gt;=65,"Retirement Age",
AND(L294&lt;65,L294&gt;=40),"Middle Aged",
AND(L294&lt;40,L294&gt;=30),"In the 30s",
L294&lt;30,"Below 30")</f>
        <v>Middle Aged</v>
      </c>
      <c r="N294" t="s">
        <v>15</v>
      </c>
    </row>
    <row r="295" spans="1:14" x14ac:dyDescent="0.25">
      <c r="A295">
        <v>11378</v>
      </c>
      <c r="B295" t="s">
        <v>37</v>
      </c>
      <c r="C295" t="s">
        <v>39</v>
      </c>
      <c r="D295" s="1">
        <v>10000</v>
      </c>
      <c r="E295" s="3">
        <v>1</v>
      </c>
      <c r="F295" t="s">
        <v>27</v>
      </c>
      <c r="G295" t="s">
        <v>25</v>
      </c>
      <c r="H295" t="s">
        <v>18</v>
      </c>
      <c r="I295" s="3">
        <v>1</v>
      </c>
      <c r="J295" t="s">
        <v>22</v>
      </c>
      <c r="K295" t="s">
        <v>17</v>
      </c>
      <c r="L295" s="3">
        <v>46</v>
      </c>
      <c r="M295" s="3" t="str" cm="1">
        <f t="array" ref="M295">_xlfn.IFS(
L295&gt;=65,"Retirement Age",
AND(L295&lt;65,L295&gt;=40),"Middle Aged",
AND(L295&lt;40,L295&gt;=30),"In the 30s",
L295&lt;30,"Below 30")</f>
        <v>Middle Aged</v>
      </c>
      <c r="N295" t="s">
        <v>15</v>
      </c>
    </row>
    <row r="296" spans="1:14" x14ac:dyDescent="0.25">
      <c r="A296">
        <v>20851</v>
      </c>
      <c r="B296" t="s">
        <v>37</v>
      </c>
      <c r="C296" t="s">
        <v>38</v>
      </c>
      <c r="D296" s="1">
        <v>20000</v>
      </c>
      <c r="E296" s="3">
        <v>0</v>
      </c>
      <c r="F296" t="s">
        <v>19</v>
      </c>
      <c r="G296" t="s">
        <v>25</v>
      </c>
      <c r="H296" t="s">
        <v>18</v>
      </c>
      <c r="I296" s="3">
        <v>1</v>
      </c>
      <c r="J296" t="s">
        <v>22</v>
      </c>
      <c r="K296" t="s">
        <v>17</v>
      </c>
      <c r="L296" s="3">
        <v>36</v>
      </c>
      <c r="M296" s="3" t="str" cm="1">
        <f t="array" ref="M296">_xlfn.IFS(
L296&gt;=65,"Retirement Age",
AND(L296&lt;65,L296&gt;=40),"Middle Aged",
AND(L296&lt;40,L296&gt;=30),"In the 30s",
L296&lt;30,"Below 30")</f>
        <v>In the 30s</v>
      </c>
      <c r="N296" t="s">
        <v>15</v>
      </c>
    </row>
    <row r="297" spans="1:14" x14ac:dyDescent="0.25">
      <c r="A297">
        <v>21557</v>
      </c>
      <c r="B297" t="s">
        <v>37</v>
      </c>
      <c r="C297" t="s">
        <v>39</v>
      </c>
      <c r="D297" s="1">
        <v>110000</v>
      </c>
      <c r="E297" s="3">
        <v>0</v>
      </c>
      <c r="F297" t="s">
        <v>19</v>
      </c>
      <c r="G297" t="s">
        <v>28</v>
      </c>
      <c r="H297" t="s">
        <v>15</v>
      </c>
      <c r="I297" s="3">
        <v>3</v>
      </c>
      <c r="J297" t="s">
        <v>45</v>
      </c>
      <c r="K297" t="s">
        <v>24</v>
      </c>
      <c r="L297" s="3">
        <v>32</v>
      </c>
      <c r="M297" s="3" t="str" cm="1">
        <f t="array" ref="M297">_xlfn.IFS(
L297&gt;=65,"Retirement Age",
AND(L297&lt;65,L297&gt;=40),"Middle Aged",
AND(L297&lt;40,L297&gt;=30),"In the 30s",
L297&lt;30,"Below 30")</f>
        <v>In the 30s</v>
      </c>
      <c r="N297" t="s">
        <v>15</v>
      </c>
    </row>
    <row r="298" spans="1:14" x14ac:dyDescent="0.25">
      <c r="A298">
        <v>26663</v>
      </c>
      <c r="B298" t="s">
        <v>37</v>
      </c>
      <c r="C298" t="s">
        <v>39</v>
      </c>
      <c r="D298" s="1">
        <v>60000</v>
      </c>
      <c r="E298" s="3">
        <v>2</v>
      </c>
      <c r="F298" t="s">
        <v>13</v>
      </c>
      <c r="G298" t="s">
        <v>21</v>
      </c>
      <c r="H298" t="s">
        <v>18</v>
      </c>
      <c r="I298" s="3">
        <v>1</v>
      </c>
      <c r="J298" t="s">
        <v>16</v>
      </c>
      <c r="K298" t="s">
        <v>24</v>
      </c>
      <c r="L298" s="3">
        <v>39</v>
      </c>
      <c r="M298" s="3" t="str" cm="1">
        <f t="array" ref="M298">_xlfn.IFS(
L298&gt;=65,"Retirement Age",
AND(L298&lt;65,L298&gt;=40),"Middle Aged",
AND(L298&lt;40,L298&gt;=30),"In the 30s",
L298&lt;30,"Below 30")</f>
        <v>In the 30s</v>
      </c>
      <c r="N298" t="s">
        <v>15</v>
      </c>
    </row>
    <row r="299" spans="1:14" x14ac:dyDescent="0.25">
      <c r="A299">
        <v>11896</v>
      </c>
      <c r="B299" t="s">
        <v>36</v>
      </c>
      <c r="C299" t="s">
        <v>38</v>
      </c>
      <c r="D299" s="1">
        <v>100000</v>
      </c>
      <c r="E299" s="3">
        <v>1</v>
      </c>
      <c r="F299" t="s">
        <v>31</v>
      </c>
      <c r="G299" t="s">
        <v>28</v>
      </c>
      <c r="H299" t="s">
        <v>15</v>
      </c>
      <c r="I299" s="3">
        <v>0</v>
      </c>
      <c r="J299" t="s">
        <v>22</v>
      </c>
      <c r="K299" t="s">
        <v>24</v>
      </c>
      <c r="L299" s="3">
        <v>36</v>
      </c>
      <c r="M299" s="3" t="str" cm="1">
        <f t="array" ref="M299">_xlfn.IFS(
L299&gt;=65,"Retirement Age",
AND(L299&lt;65,L299&gt;=40),"Middle Aged",
AND(L299&lt;40,L299&gt;=30),"In the 30s",
L299&lt;30,"Below 30")</f>
        <v>In the 30s</v>
      </c>
      <c r="N299" t="s">
        <v>15</v>
      </c>
    </row>
    <row r="300" spans="1:14" x14ac:dyDescent="0.25">
      <c r="A300">
        <v>14189</v>
      </c>
      <c r="B300" t="s">
        <v>36</v>
      </c>
      <c r="C300" t="s">
        <v>39</v>
      </c>
      <c r="D300" s="1">
        <v>90000</v>
      </c>
      <c r="E300" s="3">
        <v>4</v>
      </c>
      <c r="F300" t="s">
        <v>27</v>
      </c>
      <c r="G300" t="s">
        <v>21</v>
      </c>
      <c r="H300" t="s">
        <v>18</v>
      </c>
      <c r="I300" s="3">
        <v>2</v>
      </c>
      <c r="J300" t="s">
        <v>22</v>
      </c>
      <c r="K300" t="s">
        <v>17</v>
      </c>
      <c r="L300" s="3">
        <v>54</v>
      </c>
      <c r="M300" s="3" t="str" cm="1">
        <f t="array" ref="M300">_xlfn.IFS(
L300&gt;=65,"Retirement Age",
AND(L300&lt;65,L300&gt;=40),"Middle Aged",
AND(L300&lt;40,L300&gt;=30),"In the 30s",
L300&lt;30,"Below 30")</f>
        <v>Middle Aged</v>
      </c>
      <c r="N300" t="s">
        <v>15</v>
      </c>
    </row>
    <row r="301" spans="1:14" x14ac:dyDescent="0.25">
      <c r="A301">
        <v>13136</v>
      </c>
      <c r="B301" t="s">
        <v>36</v>
      </c>
      <c r="C301" t="s">
        <v>39</v>
      </c>
      <c r="D301" s="1">
        <v>30000</v>
      </c>
      <c r="E301" s="3">
        <v>2</v>
      </c>
      <c r="F301" t="s">
        <v>19</v>
      </c>
      <c r="G301" t="s">
        <v>20</v>
      </c>
      <c r="H301" t="s">
        <v>18</v>
      </c>
      <c r="I301" s="3">
        <v>2</v>
      </c>
      <c r="J301" t="s">
        <v>23</v>
      </c>
      <c r="K301" t="s">
        <v>24</v>
      </c>
      <c r="L301" s="3">
        <v>69</v>
      </c>
      <c r="M301" s="3" t="str" cm="1">
        <f t="array" ref="M301">_xlfn.IFS(
L301&gt;=65,"Retirement Age",
AND(L301&lt;65,L301&gt;=40),"Middle Aged",
AND(L301&lt;40,L301&gt;=30),"In the 30s",
L301&lt;30,"Below 30")</f>
        <v>Retirement Age</v>
      </c>
      <c r="N301" t="s">
        <v>18</v>
      </c>
    </row>
    <row r="302" spans="1:14" x14ac:dyDescent="0.25">
      <c r="A302">
        <v>25906</v>
      </c>
      <c r="B302" t="s">
        <v>37</v>
      </c>
      <c r="C302" t="s">
        <v>39</v>
      </c>
      <c r="D302" s="1">
        <v>10000</v>
      </c>
      <c r="E302" s="3">
        <v>5</v>
      </c>
      <c r="F302" t="s">
        <v>27</v>
      </c>
      <c r="G302" t="s">
        <v>14</v>
      </c>
      <c r="H302" t="s">
        <v>18</v>
      </c>
      <c r="I302" s="3">
        <v>2</v>
      </c>
      <c r="J302" t="s">
        <v>26</v>
      </c>
      <c r="K302" t="s">
        <v>24</v>
      </c>
      <c r="L302" s="3">
        <v>62</v>
      </c>
      <c r="M302" s="3" t="str" cm="1">
        <f t="array" ref="M302">_xlfn.IFS(
L302&gt;=65,"Retirement Age",
AND(L302&lt;65,L302&gt;=40),"Middle Aged",
AND(L302&lt;40,L302&gt;=30),"In the 30s",
L302&lt;30,"Below 30")</f>
        <v>Middle Aged</v>
      </c>
      <c r="N302" t="s">
        <v>18</v>
      </c>
    </row>
    <row r="303" spans="1:14" x14ac:dyDescent="0.25">
      <c r="A303">
        <v>17926</v>
      </c>
      <c r="B303" t="s">
        <v>37</v>
      </c>
      <c r="C303" t="s">
        <v>39</v>
      </c>
      <c r="D303" s="1">
        <v>40000</v>
      </c>
      <c r="E303" s="3">
        <v>0</v>
      </c>
      <c r="F303" t="s">
        <v>13</v>
      </c>
      <c r="G303" t="s">
        <v>20</v>
      </c>
      <c r="H303" t="s">
        <v>18</v>
      </c>
      <c r="I303" s="3">
        <v>0</v>
      </c>
      <c r="J303" t="s">
        <v>16</v>
      </c>
      <c r="K303" t="s">
        <v>24</v>
      </c>
      <c r="L303" s="3">
        <v>28</v>
      </c>
      <c r="M303" s="3" t="str" cm="1">
        <f t="array" ref="M303">_xlfn.IFS(
L303&gt;=65,"Retirement Age",
AND(L303&lt;65,L303&gt;=40),"Middle Aged",
AND(L303&lt;40,L303&gt;=30),"In the 30s",
L303&lt;30,"Below 30")</f>
        <v>Below 30</v>
      </c>
      <c r="N303" t="s">
        <v>15</v>
      </c>
    </row>
    <row r="304" spans="1:14" x14ac:dyDescent="0.25">
      <c r="A304">
        <v>26928</v>
      </c>
      <c r="B304" t="s">
        <v>37</v>
      </c>
      <c r="C304" t="s">
        <v>38</v>
      </c>
      <c r="D304" s="1">
        <v>30000</v>
      </c>
      <c r="E304" s="3">
        <v>1</v>
      </c>
      <c r="F304" t="s">
        <v>13</v>
      </c>
      <c r="G304" t="s">
        <v>20</v>
      </c>
      <c r="H304" t="s">
        <v>15</v>
      </c>
      <c r="I304" s="3">
        <v>0</v>
      </c>
      <c r="J304" t="s">
        <v>16</v>
      </c>
      <c r="K304" t="s">
        <v>17</v>
      </c>
      <c r="L304" s="3">
        <v>62</v>
      </c>
      <c r="M304" s="3" t="str" cm="1">
        <f t="array" ref="M304">_xlfn.IFS(
L304&gt;=65,"Retirement Age",
AND(L304&lt;65,L304&gt;=40),"Middle Aged",
AND(L304&lt;40,L304&gt;=30),"In the 30s",
L304&lt;30,"Below 30")</f>
        <v>Middle Aged</v>
      </c>
      <c r="N304" t="s">
        <v>15</v>
      </c>
    </row>
    <row r="305" spans="1:14" x14ac:dyDescent="0.25">
      <c r="A305">
        <v>20897</v>
      </c>
      <c r="B305" t="s">
        <v>36</v>
      </c>
      <c r="C305" t="s">
        <v>39</v>
      </c>
      <c r="D305" s="1">
        <v>30000</v>
      </c>
      <c r="E305" s="3">
        <v>1</v>
      </c>
      <c r="F305" t="s">
        <v>13</v>
      </c>
      <c r="G305" t="s">
        <v>14</v>
      </c>
      <c r="H305" t="s">
        <v>15</v>
      </c>
      <c r="I305" s="3">
        <v>2</v>
      </c>
      <c r="J305" t="s">
        <v>16</v>
      </c>
      <c r="K305" t="s">
        <v>17</v>
      </c>
      <c r="L305" s="3">
        <v>40</v>
      </c>
      <c r="M305" s="3" t="str" cm="1">
        <f t="array" ref="M305">_xlfn.IFS(
L305&gt;=65,"Retirement Age",
AND(L305&lt;65,L305&gt;=40),"Middle Aged",
AND(L305&lt;40,L305&gt;=30),"In the 30s",
L305&lt;30,"Below 30")</f>
        <v>Middle Aged</v>
      </c>
      <c r="N305" t="s">
        <v>18</v>
      </c>
    </row>
    <row r="306" spans="1:14" x14ac:dyDescent="0.25">
      <c r="A306">
        <v>28207</v>
      </c>
      <c r="B306" t="s">
        <v>36</v>
      </c>
      <c r="C306" t="s">
        <v>38</v>
      </c>
      <c r="D306" s="1">
        <v>80000</v>
      </c>
      <c r="E306" s="3">
        <v>4</v>
      </c>
      <c r="F306" t="s">
        <v>31</v>
      </c>
      <c r="G306" t="s">
        <v>28</v>
      </c>
      <c r="H306" t="s">
        <v>15</v>
      </c>
      <c r="I306" s="3">
        <v>1</v>
      </c>
      <c r="J306" t="s">
        <v>16</v>
      </c>
      <c r="K306" t="s">
        <v>24</v>
      </c>
      <c r="L306" s="3">
        <v>36</v>
      </c>
      <c r="M306" s="3" t="str" cm="1">
        <f t="array" ref="M306">_xlfn.IFS(
L306&gt;=65,"Retirement Age",
AND(L306&lt;65,L306&gt;=40),"Middle Aged",
AND(L306&lt;40,L306&gt;=30),"In the 30s",
L306&lt;30,"Below 30")</f>
        <v>In the 30s</v>
      </c>
      <c r="N306" t="s">
        <v>15</v>
      </c>
    </row>
    <row r="307" spans="1:14" x14ac:dyDescent="0.25">
      <c r="A307">
        <v>25923</v>
      </c>
      <c r="B307" t="s">
        <v>37</v>
      </c>
      <c r="C307" t="s">
        <v>38</v>
      </c>
      <c r="D307" s="1">
        <v>10000</v>
      </c>
      <c r="E307" s="3">
        <v>2</v>
      </c>
      <c r="F307" t="s">
        <v>29</v>
      </c>
      <c r="G307" t="s">
        <v>20</v>
      </c>
      <c r="H307" t="s">
        <v>15</v>
      </c>
      <c r="I307" s="3">
        <v>2</v>
      </c>
      <c r="J307" t="s">
        <v>23</v>
      </c>
      <c r="K307" t="s">
        <v>24</v>
      </c>
      <c r="L307" s="3">
        <v>58</v>
      </c>
      <c r="M307" s="3" t="str" cm="1">
        <f t="array" ref="M307">_xlfn.IFS(
L307&gt;=65,"Retirement Age",
AND(L307&lt;65,L307&gt;=40),"Middle Aged",
AND(L307&lt;40,L307&gt;=30),"In the 30s",
L307&lt;30,"Below 30")</f>
        <v>Middle Aged</v>
      </c>
      <c r="N307" t="s">
        <v>18</v>
      </c>
    </row>
    <row r="308" spans="1:14" x14ac:dyDescent="0.25">
      <c r="A308">
        <v>11000</v>
      </c>
      <c r="B308" t="s">
        <v>36</v>
      </c>
      <c r="C308" t="s">
        <v>38</v>
      </c>
      <c r="D308" s="1">
        <v>90000</v>
      </c>
      <c r="E308" s="3">
        <v>2</v>
      </c>
      <c r="F308" t="s">
        <v>13</v>
      </c>
      <c r="G308" t="s">
        <v>21</v>
      </c>
      <c r="H308" t="s">
        <v>15</v>
      </c>
      <c r="I308" s="3">
        <v>0</v>
      </c>
      <c r="J308" t="s">
        <v>26</v>
      </c>
      <c r="K308" t="s">
        <v>24</v>
      </c>
      <c r="L308" s="3">
        <v>40</v>
      </c>
      <c r="M308" s="3" t="str" cm="1">
        <f t="array" ref="M308">_xlfn.IFS(
L308&gt;=65,"Retirement Age",
AND(L308&lt;65,L308&gt;=40),"Middle Aged",
AND(L308&lt;40,L308&gt;=30),"In the 30s",
L308&lt;30,"Below 30")</f>
        <v>Middle Aged</v>
      </c>
      <c r="N308" t="s">
        <v>15</v>
      </c>
    </row>
    <row r="309" spans="1:14" x14ac:dyDescent="0.25">
      <c r="A309">
        <v>20974</v>
      </c>
      <c r="B309" t="s">
        <v>36</v>
      </c>
      <c r="C309" t="s">
        <v>38</v>
      </c>
      <c r="D309" s="1">
        <v>10000</v>
      </c>
      <c r="E309" s="3">
        <v>2</v>
      </c>
      <c r="F309" t="s">
        <v>13</v>
      </c>
      <c r="G309" t="s">
        <v>20</v>
      </c>
      <c r="H309" t="s">
        <v>15</v>
      </c>
      <c r="I309" s="3">
        <v>1</v>
      </c>
      <c r="J309" t="s">
        <v>16</v>
      </c>
      <c r="K309" t="s">
        <v>17</v>
      </c>
      <c r="L309" s="3">
        <v>66</v>
      </c>
      <c r="M309" s="3" t="str" cm="1">
        <f t="array" ref="M309">_xlfn.IFS(
L309&gt;=65,"Retirement Age",
AND(L309&lt;65,L309&gt;=40),"Middle Aged",
AND(L309&lt;40,L309&gt;=30),"In the 30s",
L309&lt;30,"Below 30")</f>
        <v>Retirement Age</v>
      </c>
      <c r="N309" t="s">
        <v>18</v>
      </c>
    </row>
    <row r="310" spans="1:14" x14ac:dyDescent="0.25">
      <c r="A310">
        <v>28758</v>
      </c>
      <c r="B310" t="s">
        <v>36</v>
      </c>
      <c r="C310" t="s">
        <v>38</v>
      </c>
      <c r="D310" s="1">
        <v>40000</v>
      </c>
      <c r="E310" s="3">
        <v>2</v>
      </c>
      <c r="F310" t="s">
        <v>19</v>
      </c>
      <c r="G310" t="s">
        <v>20</v>
      </c>
      <c r="H310" t="s">
        <v>15</v>
      </c>
      <c r="I310" s="3">
        <v>1</v>
      </c>
      <c r="J310" t="s">
        <v>26</v>
      </c>
      <c r="K310" t="s">
        <v>17</v>
      </c>
      <c r="L310" s="3">
        <v>35</v>
      </c>
      <c r="M310" s="3" t="str" cm="1">
        <f t="array" ref="M310">_xlfn.IFS(
L310&gt;=65,"Retirement Age",
AND(L310&lt;65,L310&gt;=40),"Middle Aged",
AND(L310&lt;40,L310&gt;=30),"In the 30s",
L310&lt;30,"Below 30")</f>
        <v>In the 30s</v>
      </c>
      <c r="N310" t="s">
        <v>15</v>
      </c>
    </row>
    <row r="311" spans="1:14" x14ac:dyDescent="0.25">
      <c r="A311">
        <v>11381</v>
      </c>
      <c r="B311" t="s">
        <v>36</v>
      </c>
      <c r="C311" t="s">
        <v>39</v>
      </c>
      <c r="D311" s="1">
        <v>20000</v>
      </c>
      <c r="E311" s="3">
        <v>2</v>
      </c>
      <c r="F311" t="s">
        <v>19</v>
      </c>
      <c r="G311" t="s">
        <v>25</v>
      </c>
      <c r="H311" t="s">
        <v>15</v>
      </c>
      <c r="I311" s="3">
        <v>1</v>
      </c>
      <c r="J311" t="s">
        <v>22</v>
      </c>
      <c r="K311" t="s">
        <v>17</v>
      </c>
      <c r="L311" s="3">
        <v>47</v>
      </c>
      <c r="M311" s="3" t="str" cm="1">
        <f t="array" ref="M311">_xlfn.IFS(
L311&gt;=65,"Retirement Age",
AND(L311&lt;65,L311&gt;=40),"Middle Aged",
AND(L311&lt;40,L311&gt;=30),"In the 30s",
L311&lt;30,"Below 30")</f>
        <v>Middle Aged</v>
      </c>
      <c r="N311" t="s">
        <v>15</v>
      </c>
    </row>
    <row r="312" spans="1:14" x14ac:dyDescent="0.25">
      <c r="A312">
        <v>17522</v>
      </c>
      <c r="B312" t="s">
        <v>36</v>
      </c>
      <c r="C312" t="s">
        <v>38</v>
      </c>
      <c r="D312" s="1">
        <v>120000</v>
      </c>
      <c r="E312" s="3">
        <v>4</v>
      </c>
      <c r="F312" t="s">
        <v>13</v>
      </c>
      <c r="G312" t="s">
        <v>28</v>
      </c>
      <c r="H312" t="s">
        <v>15</v>
      </c>
      <c r="I312" s="3">
        <v>1</v>
      </c>
      <c r="J312" t="s">
        <v>22</v>
      </c>
      <c r="K312" t="s">
        <v>24</v>
      </c>
      <c r="L312" s="3">
        <v>47</v>
      </c>
      <c r="M312" s="3" t="str" cm="1">
        <f t="array" ref="M312">_xlfn.IFS(
L312&gt;=65,"Retirement Age",
AND(L312&lt;65,L312&gt;=40),"Middle Aged",
AND(L312&lt;40,L312&gt;=30),"In the 30s",
L312&lt;30,"Below 30")</f>
        <v>Middle Aged</v>
      </c>
      <c r="N312" t="s">
        <v>18</v>
      </c>
    </row>
    <row r="313" spans="1:14" x14ac:dyDescent="0.25">
      <c r="A313">
        <v>21207</v>
      </c>
      <c r="B313" t="s">
        <v>36</v>
      </c>
      <c r="C313" t="s">
        <v>38</v>
      </c>
      <c r="D313" s="1">
        <v>60000</v>
      </c>
      <c r="E313" s="3">
        <v>1</v>
      </c>
      <c r="F313" t="s">
        <v>19</v>
      </c>
      <c r="G313" t="s">
        <v>14</v>
      </c>
      <c r="H313" t="s">
        <v>15</v>
      </c>
      <c r="I313" s="3">
        <v>1</v>
      </c>
      <c r="J313" t="s">
        <v>23</v>
      </c>
      <c r="K313" t="s">
        <v>24</v>
      </c>
      <c r="L313" s="3">
        <v>46</v>
      </c>
      <c r="M313" s="3" t="str" cm="1">
        <f t="array" ref="M313">_xlfn.IFS(
L313&gt;=65,"Retirement Age",
AND(L313&lt;65,L313&gt;=40),"Middle Aged",
AND(L313&lt;40,L313&gt;=30),"In the 30s",
L313&lt;30,"Below 30")</f>
        <v>Middle Aged</v>
      </c>
      <c r="N313" t="s">
        <v>18</v>
      </c>
    </row>
    <row r="314" spans="1:14" x14ac:dyDescent="0.25">
      <c r="A314">
        <v>28102</v>
      </c>
      <c r="B314" t="s">
        <v>36</v>
      </c>
      <c r="C314" t="s">
        <v>38</v>
      </c>
      <c r="D314" s="1">
        <v>20000</v>
      </c>
      <c r="E314" s="3">
        <v>4</v>
      </c>
      <c r="F314" t="s">
        <v>27</v>
      </c>
      <c r="G314" t="s">
        <v>14</v>
      </c>
      <c r="H314" t="s">
        <v>15</v>
      </c>
      <c r="I314" s="3">
        <v>2</v>
      </c>
      <c r="J314" t="s">
        <v>23</v>
      </c>
      <c r="K314" t="s">
        <v>24</v>
      </c>
      <c r="L314" s="3">
        <v>58</v>
      </c>
      <c r="M314" s="3" t="str" cm="1">
        <f t="array" ref="M314">_xlfn.IFS(
L314&gt;=65,"Retirement Age",
AND(L314&lt;65,L314&gt;=40),"Middle Aged",
AND(L314&lt;40,L314&gt;=30),"In the 30s",
L314&lt;30,"Below 30")</f>
        <v>Middle Aged</v>
      </c>
      <c r="N314" t="s">
        <v>15</v>
      </c>
    </row>
    <row r="315" spans="1:14" x14ac:dyDescent="0.25">
      <c r="A315">
        <v>23105</v>
      </c>
      <c r="B315" t="s">
        <v>37</v>
      </c>
      <c r="C315" t="s">
        <v>38</v>
      </c>
      <c r="D315" s="1">
        <v>40000</v>
      </c>
      <c r="E315" s="3">
        <v>3</v>
      </c>
      <c r="F315" t="s">
        <v>29</v>
      </c>
      <c r="G315" t="s">
        <v>20</v>
      </c>
      <c r="H315" t="s">
        <v>18</v>
      </c>
      <c r="I315" s="3">
        <v>2</v>
      </c>
      <c r="J315" t="s">
        <v>23</v>
      </c>
      <c r="K315" t="s">
        <v>24</v>
      </c>
      <c r="L315" s="3">
        <v>52</v>
      </c>
      <c r="M315" s="3" t="str" cm="1">
        <f t="array" ref="M315">_xlfn.IFS(
L315&gt;=65,"Retirement Age",
AND(L315&lt;65,L315&gt;=40),"Middle Aged",
AND(L315&lt;40,L315&gt;=30),"In the 30s",
L315&lt;30,"Below 30")</f>
        <v>Middle Aged</v>
      </c>
      <c r="N315" t="s">
        <v>15</v>
      </c>
    </row>
    <row r="316" spans="1:14" x14ac:dyDescent="0.25">
      <c r="A316">
        <v>18740</v>
      </c>
      <c r="B316" t="s">
        <v>36</v>
      </c>
      <c r="C316" t="s">
        <v>38</v>
      </c>
      <c r="D316" s="1">
        <v>80000</v>
      </c>
      <c r="E316" s="3">
        <v>5</v>
      </c>
      <c r="F316" t="s">
        <v>13</v>
      </c>
      <c r="G316" t="s">
        <v>21</v>
      </c>
      <c r="H316" t="s">
        <v>18</v>
      </c>
      <c r="I316" s="3">
        <v>1</v>
      </c>
      <c r="J316" t="s">
        <v>16</v>
      </c>
      <c r="K316" t="s">
        <v>24</v>
      </c>
      <c r="L316" s="3">
        <v>47</v>
      </c>
      <c r="M316" s="3" t="str" cm="1">
        <f t="array" ref="M316">_xlfn.IFS(
L316&gt;=65,"Retirement Age",
AND(L316&lt;65,L316&gt;=40),"Middle Aged",
AND(L316&lt;40,L316&gt;=30),"In the 30s",
L316&lt;30,"Below 30")</f>
        <v>Middle Aged</v>
      </c>
      <c r="N316" t="s">
        <v>15</v>
      </c>
    </row>
    <row r="317" spans="1:14" x14ac:dyDescent="0.25">
      <c r="A317">
        <v>21213</v>
      </c>
      <c r="B317" t="s">
        <v>37</v>
      </c>
      <c r="C317" t="s">
        <v>38</v>
      </c>
      <c r="D317" s="1">
        <v>70000</v>
      </c>
      <c r="E317" s="3">
        <v>0</v>
      </c>
      <c r="F317" t="s">
        <v>13</v>
      </c>
      <c r="G317" t="s">
        <v>21</v>
      </c>
      <c r="H317" t="s">
        <v>18</v>
      </c>
      <c r="I317" s="3">
        <v>1</v>
      </c>
      <c r="J317" t="s">
        <v>23</v>
      </c>
      <c r="K317" t="s">
        <v>24</v>
      </c>
      <c r="L317" s="3">
        <v>41</v>
      </c>
      <c r="M317" s="3" t="str" cm="1">
        <f t="array" ref="M317">_xlfn.IFS(
L317&gt;=65,"Retirement Age",
AND(L317&lt;65,L317&gt;=40),"Middle Aged",
AND(L317&lt;40,L317&gt;=30),"In the 30s",
L317&lt;30,"Below 30")</f>
        <v>Middle Aged</v>
      </c>
      <c r="N317" t="s">
        <v>18</v>
      </c>
    </row>
    <row r="318" spans="1:14" x14ac:dyDescent="0.25">
      <c r="A318">
        <v>17352</v>
      </c>
      <c r="B318" t="s">
        <v>36</v>
      </c>
      <c r="C318" t="s">
        <v>38</v>
      </c>
      <c r="D318" s="1">
        <v>50000</v>
      </c>
      <c r="E318" s="3">
        <v>2</v>
      </c>
      <c r="F318" t="s">
        <v>31</v>
      </c>
      <c r="G318" t="s">
        <v>28</v>
      </c>
      <c r="H318" t="s">
        <v>15</v>
      </c>
      <c r="I318" s="3">
        <v>1</v>
      </c>
      <c r="J318" t="s">
        <v>23</v>
      </c>
      <c r="K318" t="s">
        <v>24</v>
      </c>
      <c r="L318" s="3">
        <v>64</v>
      </c>
      <c r="M318" s="3" t="str" cm="1">
        <f t="array" ref="M318">_xlfn.IFS(
L318&gt;=65,"Retirement Age",
AND(L318&lt;65,L318&gt;=40),"Middle Aged",
AND(L318&lt;40,L318&gt;=30),"In the 30s",
L318&lt;30,"Below 30")</f>
        <v>Middle Aged</v>
      </c>
      <c r="N318" t="s">
        <v>15</v>
      </c>
    </row>
    <row r="319" spans="1:14" x14ac:dyDescent="0.25">
      <c r="A319">
        <v>14154</v>
      </c>
      <c r="B319" t="s">
        <v>36</v>
      </c>
      <c r="C319" t="s">
        <v>38</v>
      </c>
      <c r="D319" s="1">
        <v>30000</v>
      </c>
      <c r="E319" s="3">
        <v>0</v>
      </c>
      <c r="F319" t="s">
        <v>13</v>
      </c>
      <c r="G319" t="s">
        <v>20</v>
      </c>
      <c r="H319" t="s">
        <v>15</v>
      </c>
      <c r="I319" s="3">
        <v>0</v>
      </c>
      <c r="J319" t="s">
        <v>16</v>
      </c>
      <c r="K319" t="s">
        <v>17</v>
      </c>
      <c r="L319" s="3">
        <v>35</v>
      </c>
      <c r="M319" s="3" t="str" cm="1">
        <f t="array" ref="M319">_xlfn.IFS(
L319&gt;=65,"Retirement Age",
AND(L319&lt;65,L319&gt;=40),"Middle Aged",
AND(L319&lt;40,L319&gt;=30),"In the 30s",
L319&lt;30,"Below 30")</f>
        <v>In the 30s</v>
      </c>
      <c r="N319" t="s">
        <v>15</v>
      </c>
    </row>
    <row r="320" spans="1:14" x14ac:dyDescent="0.25">
      <c r="A320">
        <v>19066</v>
      </c>
      <c r="B320" t="s">
        <v>36</v>
      </c>
      <c r="C320" t="s">
        <v>38</v>
      </c>
      <c r="D320" s="1">
        <v>130000</v>
      </c>
      <c r="E320" s="3">
        <v>4</v>
      </c>
      <c r="F320" t="s">
        <v>19</v>
      </c>
      <c r="G320" t="s">
        <v>21</v>
      </c>
      <c r="H320" t="s">
        <v>18</v>
      </c>
      <c r="I320" s="3">
        <v>3</v>
      </c>
      <c r="J320" t="s">
        <v>45</v>
      </c>
      <c r="K320" t="s">
        <v>17</v>
      </c>
      <c r="L320" s="3">
        <v>54</v>
      </c>
      <c r="M320" s="3" t="str" cm="1">
        <f t="array" ref="M320">_xlfn.IFS(
L320&gt;=65,"Retirement Age",
AND(L320&lt;65,L320&gt;=40),"Middle Aged",
AND(L320&lt;40,L320&gt;=30),"In the 30s",
L320&lt;30,"Below 30")</f>
        <v>Middle Aged</v>
      </c>
      <c r="N320" t="s">
        <v>18</v>
      </c>
    </row>
    <row r="321" spans="1:14" x14ac:dyDescent="0.25">
      <c r="A321">
        <v>11386</v>
      </c>
      <c r="B321" t="s">
        <v>36</v>
      </c>
      <c r="C321" t="s">
        <v>39</v>
      </c>
      <c r="D321" s="1">
        <v>30000</v>
      </c>
      <c r="E321" s="3">
        <v>3</v>
      </c>
      <c r="F321" t="s">
        <v>13</v>
      </c>
      <c r="G321" t="s">
        <v>20</v>
      </c>
      <c r="H321" t="s">
        <v>15</v>
      </c>
      <c r="I321" s="3">
        <v>0</v>
      </c>
      <c r="J321" t="s">
        <v>16</v>
      </c>
      <c r="K321" t="s">
        <v>17</v>
      </c>
      <c r="L321" s="3">
        <v>45</v>
      </c>
      <c r="M321" s="3" t="str" cm="1">
        <f t="array" ref="M321">_xlfn.IFS(
L321&gt;=65,"Retirement Age",
AND(L321&lt;65,L321&gt;=40),"Middle Aged",
AND(L321&lt;40,L321&gt;=30),"In the 30s",
L321&lt;30,"Below 30")</f>
        <v>Middle Aged</v>
      </c>
      <c r="N321" t="s">
        <v>18</v>
      </c>
    </row>
    <row r="322" spans="1:14" x14ac:dyDescent="0.25">
      <c r="A322">
        <v>20228</v>
      </c>
      <c r="B322" t="s">
        <v>36</v>
      </c>
      <c r="C322" t="s">
        <v>38</v>
      </c>
      <c r="D322" s="1">
        <v>100000</v>
      </c>
      <c r="E322" s="3">
        <v>0</v>
      </c>
      <c r="F322" t="s">
        <v>31</v>
      </c>
      <c r="G322" t="s">
        <v>28</v>
      </c>
      <c r="H322" t="s">
        <v>15</v>
      </c>
      <c r="I322" s="3">
        <v>0</v>
      </c>
      <c r="J322" t="s">
        <v>22</v>
      </c>
      <c r="K322" t="s">
        <v>24</v>
      </c>
      <c r="L322" s="3">
        <v>40</v>
      </c>
      <c r="M322" s="3" t="str" cm="1">
        <f t="array" ref="M322">_xlfn.IFS(
L322&gt;=65,"Retirement Age",
AND(L322&lt;65,L322&gt;=40),"Middle Aged",
AND(L322&lt;40,L322&gt;=30),"In the 30s",
L322&lt;30,"Below 30")</f>
        <v>Middle Aged</v>
      </c>
      <c r="N322" t="s">
        <v>15</v>
      </c>
    </row>
    <row r="323" spans="1:14" x14ac:dyDescent="0.25">
      <c r="A323">
        <v>16675</v>
      </c>
      <c r="B323" t="s">
        <v>37</v>
      </c>
      <c r="C323" t="s">
        <v>39</v>
      </c>
      <c r="D323" s="1">
        <v>160000</v>
      </c>
      <c r="E323" s="3">
        <v>0</v>
      </c>
      <c r="F323" t="s">
        <v>31</v>
      </c>
      <c r="G323" t="s">
        <v>28</v>
      </c>
      <c r="H323" t="s">
        <v>18</v>
      </c>
      <c r="I323" s="3">
        <v>3</v>
      </c>
      <c r="J323" t="s">
        <v>16</v>
      </c>
      <c r="K323" t="s">
        <v>24</v>
      </c>
      <c r="L323" s="3">
        <v>47</v>
      </c>
      <c r="M323" s="3" t="str" cm="1">
        <f t="array" ref="M323">_xlfn.IFS(
L323&gt;=65,"Retirement Age",
AND(L323&lt;65,L323&gt;=40),"Middle Aged",
AND(L323&lt;40,L323&gt;=30),"In the 30s",
L323&lt;30,"Below 30")</f>
        <v>Middle Aged</v>
      </c>
      <c r="N323" t="s">
        <v>15</v>
      </c>
    </row>
    <row r="324" spans="1:14" x14ac:dyDescent="0.25">
      <c r="A324">
        <v>16410</v>
      </c>
      <c r="B324" t="s">
        <v>37</v>
      </c>
      <c r="C324" t="s">
        <v>39</v>
      </c>
      <c r="D324" s="1">
        <v>10000</v>
      </c>
      <c r="E324" s="3">
        <v>4</v>
      </c>
      <c r="F324" t="s">
        <v>29</v>
      </c>
      <c r="G324" t="s">
        <v>25</v>
      </c>
      <c r="H324" t="s">
        <v>15</v>
      </c>
      <c r="I324" s="3">
        <v>2</v>
      </c>
      <c r="J324" t="s">
        <v>16</v>
      </c>
      <c r="K324" t="s">
        <v>17</v>
      </c>
      <c r="L324" s="3">
        <v>41</v>
      </c>
      <c r="M324" s="3" t="str" cm="1">
        <f t="array" ref="M324">_xlfn.IFS(
L324&gt;=65,"Retirement Age",
AND(L324&lt;65,L324&gt;=40),"Middle Aged",
AND(L324&lt;40,L324&gt;=30),"In the 30s",
L324&lt;30,"Below 30")</f>
        <v>Middle Aged</v>
      </c>
      <c r="N324" t="s">
        <v>15</v>
      </c>
    </row>
    <row r="325" spans="1:14" x14ac:dyDescent="0.25">
      <c r="A325">
        <v>27760</v>
      </c>
      <c r="B325" t="s">
        <v>37</v>
      </c>
      <c r="C325" t="s">
        <v>39</v>
      </c>
      <c r="D325" s="1">
        <v>40000</v>
      </c>
      <c r="E325" s="3">
        <v>0</v>
      </c>
      <c r="F325" t="s">
        <v>31</v>
      </c>
      <c r="G325" t="s">
        <v>20</v>
      </c>
      <c r="H325" t="s">
        <v>18</v>
      </c>
      <c r="I325" s="3">
        <v>0</v>
      </c>
      <c r="J325" t="s">
        <v>16</v>
      </c>
      <c r="K325" t="s">
        <v>17</v>
      </c>
      <c r="L325" s="3">
        <v>37</v>
      </c>
      <c r="M325" s="3" t="str" cm="1">
        <f t="array" ref="M325">_xlfn.IFS(
L325&gt;=65,"Retirement Age",
AND(L325&lt;65,L325&gt;=40),"Middle Aged",
AND(L325&lt;40,L325&gt;=30),"In the 30s",
L325&lt;30,"Below 30")</f>
        <v>In the 30s</v>
      </c>
      <c r="N325" t="s">
        <v>15</v>
      </c>
    </row>
    <row r="326" spans="1:14" x14ac:dyDescent="0.25">
      <c r="A326">
        <v>22930</v>
      </c>
      <c r="B326" t="s">
        <v>36</v>
      </c>
      <c r="C326" t="s">
        <v>38</v>
      </c>
      <c r="D326" s="1">
        <v>90000</v>
      </c>
      <c r="E326" s="3">
        <v>4</v>
      </c>
      <c r="F326" t="s">
        <v>13</v>
      </c>
      <c r="G326" t="s">
        <v>21</v>
      </c>
      <c r="H326" t="s">
        <v>15</v>
      </c>
      <c r="I326" s="3">
        <v>0</v>
      </c>
      <c r="J326" t="s">
        <v>26</v>
      </c>
      <c r="K326" t="s">
        <v>24</v>
      </c>
      <c r="L326" s="3">
        <v>38</v>
      </c>
      <c r="M326" s="3" t="str" cm="1">
        <f t="array" ref="M326">_xlfn.IFS(
L326&gt;=65,"Retirement Age",
AND(L326&lt;65,L326&gt;=40),"Middle Aged",
AND(L326&lt;40,L326&gt;=30),"In the 30s",
L326&lt;30,"Below 30")</f>
        <v>In the 30s</v>
      </c>
      <c r="N326" t="s">
        <v>15</v>
      </c>
    </row>
    <row r="327" spans="1:14" x14ac:dyDescent="0.25">
      <c r="A327">
        <v>23780</v>
      </c>
      <c r="B327" t="s">
        <v>37</v>
      </c>
      <c r="C327" t="s">
        <v>38</v>
      </c>
      <c r="D327" s="1">
        <v>40000</v>
      </c>
      <c r="E327" s="3">
        <v>2</v>
      </c>
      <c r="F327" t="s">
        <v>19</v>
      </c>
      <c r="G327" t="s">
        <v>20</v>
      </c>
      <c r="H327" t="s">
        <v>18</v>
      </c>
      <c r="I327" s="3">
        <v>2</v>
      </c>
      <c r="J327" t="s">
        <v>16</v>
      </c>
      <c r="K327" t="s">
        <v>17</v>
      </c>
      <c r="L327" s="3">
        <v>36</v>
      </c>
      <c r="M327" s="3" t="str" cm="1">
        <f t="array" ref="M327">_xlfn.IFS(
L327&gt;=65,"Retirement Age",
AND(L327&lt;65,L327&gt;=40),"Middle Aged",
AND(L327&lt;40,L327&gt;=30),"In the 30s",
L327&lt;30,"Below 30")</f>
        <v>In the 30s</v>
      </c>
      <c r="N327" t="s">
        <v>15</v>
      </c>
    </row>
    <row r="328" spans="1:14" x14ac:dyDescent="0.25">
      <c r="A328">
        <v>20994</v>
      </c>
      <c r="B328" t="s">
        <v>36</v>
      </c>
      <c r="C328" t="s">
        <v>39</v>
      </c>
      <c r="D328" s="1">
        <v>20000</v>
      </c>
      <c r="E328" s="3">
        <v>0</v>
      </c>
      <c r="F328" t="s">
        <v>13</v>
      </c>
      <c r="G328" t="s">
        <v>20</v>
      </c>
      <c r="H328" t="s">
        <v>18</v>
      </c>
      <c r="I328" s="3">
        <v>0</v>
      </c>
      <c r="J328" t="s">
        <v>16</v>
      </c>
      <c r="K328" t="s">
        <v>24</v>
      </c>
      <c r="L328" s="3">
        <v>26</v>
      </c>
      <c r="M328" s="3" t="str" cm="1">
        <f t="array" ref="M328">_xlfn.IFS(
L328&gt;=65,"Retirement Age",
AND(L328&lt;65,L328&gt;=40),"Middle Aged",
AND(L328&lt;40,L328&gt;=30),"In the 30s",
L328&lt;30,"Below 30")</f>
        <v>Below 30</v>
      </c>
      <c r="N328" t="s">
        <v>15</v>
      </c>
    </row>
    <row r="329" spans="1:14" x14ac:dyDescent="0.25">
      <c r="A329">
        <v>28379</v>
      </c>
      <c r="B329" t="s">
        <v>36</v>
      </c>
      <c r="C329" t="s">
        <v>38</v>
      </c>
      <c r="D329" s="1">
        <v>30000</v>
      </c>
      <c r="E329" s="3">
        <v>1</v>
      </c>
      <c r="F329" t="s">
        <v>13</v>
      </c>
      <c r="G329" t="s">
        <v>14</v>
      </c>
      <c r="H329" t="s">
        <v>15</v>
      </c>
      <c r="I329" s="3">
        <v>2</v>
      </c>
      <c r="J329" t="s">
        <v>16</v>
      </c>
      <c r="K329" t="s">
        <v>17</v>
      </c>
      <c r="L329" s="3">
        <v>40</v>
      </c>
      <c r="M329" s="3" t="str" cm="1">
        <f t="array" ref="M329">_xlfn.IFS(
L329&gt;=65,"Retirement Age",
AND(L329&lt;65,L329&gt;=40),"Middle Aged",
AND(L329&lt;40,L329&gt;=30),"In the 30s",
L329&lt;30,"Below 30")</f>
        <v>Middle Aged</v>
      </c>
      <c r="N329" t="s">
        <v>18</v>
      </c>
    </row>
    <row r="330" spans="1:14" x14ac:dyDescent="0.25">
      <c r="A330">
        <v>14865</v>
      </c>
      <c r="B330" t="s">
        <v>37</v>
      </c>
      <c r="C330" t="s">
        <v>38</v>
      </c>
      <c r="D330" s="1">
        <v>40000</v>
      </c>
      <c r="E330" s="3">
        <v>2</v>
      </c>
      <c r="F330" t="s">
        <v>19</v>
      </c>
      <c r="G330" t="s">
        <v>20</v>
      </c>
      <c r="H330" t="s">
        <v>15</v>
      </c>
      <c r="I330" s="3">
        <v>2</v>
      </c>
      <c r="J330" t="s">
        <v>26</v>
      </c>
      <c r="K330" t="s">
        <v>17</v>
      </c>
      <c r="L330" s="3">
        <v>36</v>
      </c>
      <c r="M330" s="3" t="str" cm="1">
        <f t="array" ref="M330">_xlfn.IFS(
L330&gt;=65,"Retirement Age",
AND(L330&lt;65,L330&gt;=40),"Middle Aged",
AND(L330&lt;40,L330&gt;=30),"In the 30s",
L330&lt;30,"Below 30")</f>
        <v>In the 30s</v>
      </c>
      <c r="N330" t="s">
        <v>18</v>
      </c>
    </row>
    <row r="331" spans="1:14" x14ac:dyDescent="0.25">
      <c r="A331">
        <v>12663</v>
      </c>
      <c r="B331" t="s">
        <v>36</v>
      </c>
      <c r="C331" t="s">
        <v>39</v>
      </c>
      <c r="D331" s="1">
        <v>90000</v>
      </c>
      <c r="E331" s="3">
        <v>5</v>
      </c>
      <c r="F331" t="s">
        <v>29</v>
      </c>
      <c r="G331" t="s">
        <v>14</v>
      </c>
      <c r="H331" t="s">
        <v>15</v>
      </c>
      <c r="I331" s="3">
        <v>2</v>
      </c>
      <c r="J331" t="s">
        <v>45</v>
      </c>
      <c r="K331" t="s">
        <v>17</v>
      </c>
      <c r="L331" s="3">
        <v>59</v>
      </c>
      <c r="M331" s="3" t="str" cm="1">
        <f t="array" ref="M331">_xlfn.IFS(
L331&gt;=65,"Retirement Age",
AND(L331&lt;65,L331&gt;=40),"Middle Aged",
AND(L331&lt;40,L331&gt;=30),"In the 30s",
L331&lt;30,"Below 30")</f>
        <v>Middle Aged</v>
      </c>
      <c r="N331" t="s">
        <v>18</v>
      </c>
    </row>
    <row r="332" spans="1:14" x14ac:dyDescent="0.25">
      <c r="A332">
        <v>24898</v>
      </c>
      <c r="B332" t="s">
        <v>37</v>
      </c>
      <c r="C332" t="s">
        <v>39</v>
      </c>
      <c r="D332" s="1">
        <v>80000</v>
      </c>
      <c r="E332" s="3">
        <v>0</v>
      </c>
      <c r="F332" t="s">
        <v>13</v>
      </c>
      <c r="G332" t="s">
        <v>21</v>
      </c>
      <c r="H332" t="s">
        <v>15</v>
      </c>
      <c r="I332" s="3">
        <v>3</v>
      </c>
      <c r="J332" t="s">
        <v>45</v>
      </c>
      <c r="K332" t="s">
        <v>24</v>
      </c>
      <c r="L332" s="3">
        <v>32</v>
      </c>
      <c r="M332" s="3" t="str" cm="1">
        <f t="array" ref="M332">_xlfn.IFS(
L332&gt;=65,"Retirement Age",
AND(L332&lt;65,L332&gt;=40),"Middle Aged",
AND(L332&lt;40,L332&gt;=30),"In the 30s",
L332&lt;30,"Below 30")</f>
        <v>In the 30s</v>
      </c>
      <c r="N332" t="s">
        <v>18</v>
      </c>
    </row>
    <row r="333" spans="1:14" x14ac:dyDescent="0.25">
      <c r="A333">
        <v>19508</v>
      </c>
      <c r="B333" t="s">
        <v>36</v>
      </c>
      <c r="C333" t="s">
        <v>38</v>
      </c>
      <c r="D333" s="1">
        <v>10000</v>
      </c>
      <c r="E333" s="3">
        <v>0</v>
      </c>
      <c r="F333" t="s">
        <v>29</v>
      </c>
      <c r="G333" t="s">
        <v>25</v>
      </c>
      <c r="H333" t="s">
        <v>18</v>
      </c>
      <c r="I333" s="3">
        <v>2</v>
      </c>
      <c r="J333" t="s">
        <v>16</v>
      </c>
      <c r="K333" t="s">
        <v>17</v>
      </c>
      <c r="L333" s="3">
        <v>30</v>
      </c>
      <c r="M333" s="3" t="str" cm="1">
        <f t="array" ref="M333">_xlfn.IFS(
L333&gt;=65,"Retirement Age",
AND(L333&lt;65,L333&gt;=40),"Middle Aged",
AND(L333&lt;40,L333&gt;=30),"In the 30s",
L333&lt;30,"Below 30")</f>
        <v>In the 30s</v>
      </c>
      <c r="N333" t="s">
        <v>18</v>
      </c>
    </row>
    <row r="334" spans="1:14" x14ac:dyDescent="0.25">
      <c r="A334">
        <v>11489</v>
      </c>
      <c r="B334" t="s">
        <v>37</v>
      </c>
      <c r="C334" t="s">
        <v>39</v>
      </c>
      <c r="D334" s="1">
        <v>20000</v>
      </c>
      <c r="E334" s="3">
        <v>0</v>
      </c>
      <c r="F334" t="s">
        <v>29</v>
      </c>
      <c r="G334" t="s">
        <v>25</v>
      </c>
      <c r="H334" t="s">
        <v>18</v>
      </c>
      <c r="I334" s="3">
        <v>2</v>
      </c>
      <c r="J334" t="s">
        <v>26</v>
      </c>
      <c r="K334" t="s">
        <v>17</v>
      </c>
      <c r="L334" s="3">
        <v>35</v>
      </c>
      <c r="M334" s="3" t="str" cm="1">
        <f t="array" ref="M334">_xlfn.IFS(
L334&gt;=65,"Retirement Age",
AND(L334&lt;65,L334&gt;=40),"Middle Aged",
AND(L334&lt;40,L334&gt;=30),"In the 30s",
L334&lt;30,"Below 30")</f>
        <v>In the 30s</v>
      </c>
      <c r="N334" t="s">
        <v>15</v>
      </c>
    </row>
    <row r="335" spans="1:14" x14ac:dyDescent="0.25">
      <c r="A335">
        <v>18160</v>
      </c>
      <c r="B335" t="s">
        <v>36</v>
      </c>
      <c r="C335" t="s">
        <v>38</v>
      </c>
      <c r="D335" s="1">
        <v>130000</v>
      </c>
      <c r="E335" s="3">
        <v>3</v>
      </c>
      <c r="F335" t="s">
        <v>27</v>
      </c>
      <c r="G335" t="s">
        <v>21</v>
      </c>
      <c r="H335" t="s">
        <v>15</v>
      </c>
      <c r="I335" s="3">
        <v>4</v>
      </c>
      <c r="J335" t="s">
        <v>23</v>
      </c>
      <c r="K335" t="s">
        <v>17</v>
      </c>
      <c r="L335" s="3">
        <v>51</v>
      </c>
      <c r="M335" s="3" t="str" cm="1">
        <f t="array" ref="M335">_xlfn.IFS(
L335&gt;=65,"Retirement Age",
AND(L335&lt;65,L335&gt;=40),"Middle Aged",
AND(L335&lt;40,L335&gt;=30),"In the 30s",
L335&lt;30,"Below 30")</f>
        <v>Middle Aged</v>
      </c>
      <c r="N335" t="s">
        <v>15</v>
      </c>
    </row>
    <row r="336" spans="1:14" x14ac:dyDescent="0.25">
      <c r="A336">
        <v>25241</v>
      </c>
      <c r="B336" t="s">
        <v>36</v>
      </c>
      <c r="C336" t="s">
        <v>38</v>
      </c>
      <c r="D336" s="1">
        <v>90000</v>
      </c>
      <c r="E336" s="3">
        <v>2</v>
      </c>
      <c r="F336" t="s">
        <v>13</v>
      </c>
      <c r="G336" t="s">
        <v>21</v>
      </c>
      <c r="H336" t="s">
        <v>15</v>
      </c>
      <c r="I336" s="3">
        <v>1</v>
      </c>
      <c r="J336" t="s">
        <v>23</v>
      </c>
      <c r="K336" t="s">
        <v>24</v>
      </c>
      <c r="L336" s="3">
        <v>47</v>
      </c>
      <c r="M336" s="3" t="str" cm="1">
        <f t="array" ref="M336">_xlfn.IFS(
L336&gt;=65,"Retirement Age",
AND(L336&lt;65,L336&gt;=40),"Middle Aged",
AND(L336&lt;40,L336&gt;=30),"In the 30s",
L336&lt;30,"Below 30")</f>
        <v>Middle Aged</v>
      </c>
      <c r="N336" t="s">
        <v>18</v>
      </c>
    </row>
    <row r="337" spans="1:14" x14ac:dyDescent="0.25">
      <c r="A337">
        <v>24369</v>
      </c>
      <c r="B337" t="s">
        <v>36</v>
      </c>
      <c r="C337" t="s">
        <v>38</v>
      </c>
      <c r="D337" s="1">
        <v>80000</v>
      </c>
      <c r="E337" s="3">
        <v>5</v>
      </c>
      <c r="F337" t="s">
        <v>31</v>
      </c>
      <c r="G337" t="s">
        <v>28</v>
      </c>
      <c r="H337" t="s">
        <v>18</v>
      </c>
      <c r="I337" s="3">
        <v>2</v>
      </c>
      <c r="J337" t="s">
        <v>16</v>
      </c>
      <c r="K337" t="s">
        <v>24</v>
      </c>
      <c r="L337" s="3">
        <v>39</v>
      </c>
      <c r="M337" s="3" t="str" cm="1">
        <f t="array" ref="M337">_xlfn.IFS(
L337&gt;=65,"Retirement Age",
AND(L337&lt;65,L337&gt;=40),"Middle Aged",
AND(L337&lt;40,L337&gt;=30),"In the 30s",
L337&lt;30,"Below 30")</f>
        <v>In the 30s</v>
      </c>
      <c r="N337" t="s">
        <v>18</v>
      </c>
    </row>
    <row r="338" spans="1:14" x14ac:dyDescent="0.25">
      <c r="A338">
        <v>27165</v>
      </c>
      <c r="B338" t="s">
        <v>37</v>
      </c>
      <c r="C338" t="s">
        <v>38</v>
      </c>
      <c r="D338" s="1">
        <v>20000</v>
      </c>
      <c r="E338" s="3">
        <v>0</v>
      </c>
      <c r="F338" t="s">
        <v>29</v>
      </c>
      <c r="G338" t="s">
        <v>25</v>
      </c>
      <c r="H338" t="s">
        <v>18</v>
      </c>
      <c r="I338" s="3">
        <v>2</v>
      </c>
      <c r="J338" t="s">
        <v>16</v>
      </c>
      <c r="K338" t="s">
        <v>17</v>
      </c>
      <c r="L338" s="3">
        <v>34</v>
      </c>
      <c r="M338" s="3" t="str" cm="1">
        <f t="array" ref="M338">_xlfn.IFS(
L338&gt;=65,"Retirement Age",
AND(L338&lt;65,L338&gt;=40),"Middle Aged",
AND(L338&lt;40,L338&gt;=30),"In the 30s",
L338&lt;30,"Below 30")</f>
        <v>In the 30s</v>
      </c>
      <c r="N338" t="s">
        <v>18</v>
      </c>
    </row>
    <row r="339" spans="1:14" x14ac:dyDescent="0.25">
      <c r="A339">
        <v>29424</v>
      </c>
      <c r="B339" t="s">
        <v>36</v>
      </c>
      <c r="C339" t="s">
        <v>38</v>
      </c>
      <c r="D339" s="1">
        <v>10000</v>
      </c>
      <c r="E339" s="3">
        <v>0</v>
      </c>
      <c r="F339" t="s">
        <v>29</v>
      </c>
      <c r="G339" t="s">
        <v>25</v>
      </c>
      <c r="H339" t="s">
        <v>15</v>
      </c>
      <c r="I339" s="3">
        <v>2</v>
      </c>
      <c r="J339" t="s">
        <v>16</v>
      </c>
      <c r="K339" t="s">
        <v>17</v>
      </c>
      <c r="L339" s="3">
        <v>32</v>
      </c>
      <c r="M339" s="3" t="str" cm="1">
        <f t="array" ref="M339">_xlfn.IFS(
L339&gt;=65,"Retirement Age",
AND(L339&lt;65,L339&gt;=40),"Middle Aged",
AND(L339&lt;40,L339&gt;=30),"In the 30s",
L339&lt;30,"Below 30")</f>
        <v>In the 30s</v>
      </c>
      <c r="N339" t="s">
        <v>18</v>
      </c>
    </row>
    <row r="340" spans="1:14" x14ac:dyDescent="0.25">
      <c r="A340">
        <v>15926</v>
      </c>
      <c r="B340" t="s">
        <v>37</v>
      </c>
      <c r="C340" t="s">
        <v>39</v>
      </c>
      <c r="D340" s="1">
        <v>120000</v>
      </c>
      <c r="E340" s="3">
        <v>3</v>
      </c>
      <c r="F340" t="s">
        <v>27</v>
      </c>
      <c r="G340" t="s">
        <v>21</v>
      </c>
      <c r="H340" t="s">
        <v>15</v>
      </c>
      <c r="I340" s="3">
        <v>4</v>
      </c>
      <c r="J340" t="s">
        <v>23</v>
      </c>
      <c r="K340" t="s">
        <v>17</v>
      </c>
      <c r="L340" s="3">
        <v>50</v>
      </c>
      <c r="M340" s="3" t="str" cm="1">
        <f t="array" ref="M340">_xlfn.IFS(
L340&gt;=65,"Retirement Age",
AND(L340&lt;65,L340&gt;=40),"Middle Aged",
AND(L340&lt;40,L340&gt;=30),"In the 30s",
L340&lt;30,"Below 30")</f>
        <v>Middle Aged</v>
      </c>
      <c r="N340" t="s">
        <v>15</v>
      </c>
    </row>
    <row r="341" spans="1:14" x14ac:dyDescent="0.25">
      <c r="A341">
        <v>14554</v>
      </c>
      <c r="B341" t="s">
        <v>36</v>
      </c>
      <c r="C341" t="s">
        <v>38</v>
      </c>
      <c r="D341" s="1">
        <v>20000</v>
      </c>
      <c r="E341" s="3">
        <v>1</v>
      </c>
      <c r="F341" t="s">
        <v>13</v>
      </c>
      <c r="G341" t="s">
        <v>20</v>
      </c>
      <c r="H341" t="s">
        <v>15</v>
      </c>
      <c r="I341" s="3">
        <v>0</v>
      </c>
      <c r="J341" t="s">
        <v>16</v>
      </c>
      <c r="K341" t="s">
        <v>17</v>
      </c>
      <c r="L341" s="3">
        <v>66</v>
      </c>
      <c r="M341" s="3" t="str" cm="1">
        <f t="array" ref="M341">_xlfn.IFS(
L341&gt;=65,"Retirement Age",
AND(L341&lt;65,L341&gt;=40),"Middle Aged",
AND(L341&lt;40,L341&gt;=30),"In the 30s",
L341&lt;30,"Below 30")</f>
        <v>Retirement Age</v>
      </c>
      <c r="N341" t="s">
        <v>18</v>
      </c>
    </row>
    <row r="342" spans="1:14" x14ac:dyDescent="0.25">
      <c r="A342">
        <v>16468</v>
      </c>
      <c r="B342" t="s">
        <v>37</v>
      </c>
      <c r="C342" t="s">
        <v>38</v>
      </c>
      <c r="D342" s="1">
        <v>30000</v>
      </c>
      <c r="E342" s="3">
        <v>0</v>
      </c>
      <c r="F342" t="s">
        <v>19</v>
      </c>
      <c r="G342" t="s">
        <v>20</v>
      </c>
      <c r="H342" t="s">
        <v>15</v>
      </c>
      <c r="I342" s="3">
        <v>1</v>
      </c>
      <c r="J342" t="s">
        <v>22</v>
      </c>
      <c r="K342" t="s">
        <v>17</v>
      </c>
      <c r="L342" s="3">
        <v>30</v>
      </c>
      <c r="M342" s="3" t="str" cm="1">
        <f t="array" ref="M342">_xlfn.IFS(
L342&gt;=65,"Retirement Age",
AND(L342&lt;65,L342&gt;=40),"Middle Aged",
AND(L342&lt;40,L342&gt;=30),"In the 30s",
L342&lt;30,"Below 30")</f>
        <v>In the 30s</v>
      </c>
      <c r="N342" t="s">
        <v>18</v>
      </c>
    </row>
    <row r="343" spans="1:14" x14ac:dyDescent="0.25">
      <c r="A343">
        <v>19174</v>
      </c>
      <c r="B343" t="s">
        <v>37</v>
      </c>
      <c r="C343" t="s">
        <v>39</v>
      </c>
      <c r="D343" s="1">
        <v>30000</v>
      </c>
      <c r="E343" s="3">
        <v>0</v>
      </c>
      <c r="F343" t="s">
        <v>27</v>
      </c>
      <c r="G343" t="s">
        <v>25</v>
      </c>
      <c r="H343" t="s">
        <v>18</v>
      </c>
      <c r="I343" s="3">
        <v>1</v>
      </c>
      <c r="J343" t="s">
        <v>22</v>
      </c>
      <c r="K343" t="s">
        <v>17</v>
      </c>
      <c r="L343" s="3">
        <v>32</v>
      </c>
      <c r="M343" s="3" t="str" cm="1">
        <f t="array" ref="M343">_xlfn.IFS(
L343&gt;=65,"Retirement Age",
AND(L343&lt;65,L343&gt;=40),"Middle Aged",
AND(L343&lt;40,L343&gt;=30),"In the 30s",
L343&lt;30,"Below 30")</f>
        <v>In the 30s</v>
      </c>
      <c r="N343" t="s">
        <v>15</v>
      </c>
    </row>
    <row r="344" spans="1:14" x14ac:dyDescent="0.25">
      <c r="A344">
        <v>19183</v>
      </c>
      <c r="B344" t="s">
        <v>37</v>
      </c>
      <c r="C344" t="s">
        <v>38</v>
      </c>
      <c r="D344" s="1">
        <v>10000</v>
      </c>
      <c r="E344" s="3">
        <v>0</v>
      </c>
      <c r="F344" t="s">
        <v>29</v>
      </c>
      <c r="G344" t="s">
        <v>25</v>
      </c>
      <c r="H344" t="s">
        <v>15</v>
      </c>
      <c r="I344" s="3">
        <v>2</v>
      </c>
      <c r="J344" t="s">
        <v>26</v>
      </c>
      <c r="K344" t="s">
        <v>17</v>
      </c>
      <c r="L344" s="3">
        <v>35</v>
      </c>
      <c r="M344" s="3" t="str" cm="1">
        <f t="array" ref="M344">_xlfn.IFS(
L344&gt;=65,"Retirement Age",
AND(L344&lt;65,L344&gt;=40),"Middle Aged",
AND(L344&lt;40,L344&gt;=30),"In the 30s",
L344&lt;30,"Below 30")</f>
        <v>In the 30s</v>
      </c>
      <c r="N344" t="s">
        <v>18</v>
      </c>
    </row>
    <row r="345" spans="1:14" x14ac:dyDescent="0.25">
      <c r="A345">
        <v>13683</v>
      </c>
      <c r="B345" t="s">
        <v>37</v>
      </c>
      <c r="C345" t="s">
        <v>39</v>
      </c>
      <c r="D345" s="1">
        <v>30000</v>
      </c>
      <c r="E345" s="3">
        <v>0</v>
      </c>
      <c r="F345" t="s">
        <v>27</v>
      </c>
      <c r="G345" t="s">
        <v>25</v>
      </c>
      <c r="H345" t="s">
        <v>18</v>
      </c>
      <c r="I345" s="3">
        <v>1</v>
      </c>
      <c r="J345" t="s">
        <v>22</v>
      </c>
      <c r="K345" t="s">
        <v>17</v>
      </c>
      <c r="L345" s="3">
        <v>32</v>
      </c>
      <c r="M345" s="3" t="str" cm="1">
        <f t="array" ref="M345">_xlfn.IFS(
L345&gt;=65,"Retirement Age",
AND(L345&lt;65,L345&gt;=40),"Middle Aged",
AND(L345&lt;40,L345&gt;=30),"In the 30s",
L345&lt;30,"Below 30")</f>
        <v>In the 30s</v>
      </c>
      <c r="N345" t="s">
        <v>18</v>
      </c>
    </row>
    <row r="346" spans="1:14" x14ac:dyDescent="0.25">
      <c r="A346">
        <v>17848</v>
      </c>
      <c r="B346" t="s">
        <v>37</v>
      </c>
      <c r="C346" t="s">
        <v>38</v>
      </c>
      <c r="D346" s="1">
        <v>30000</v>
      </c>
      <c r="E346" s="3">
        <v>0</v>
      </c>
      <c r="F346" t="s">
        <v>19</v>
      </c>
      <c r="G346" t="s">
        <v>20</v>
      </c>
      <c r="H346" t="s">
        <v>18</v>
      </c>
      <c r="I346" s="3">
        <v>1</v>
      </c>
      <c r="J346" t="s">
        <v>22</v>
      </c>
      <c r="K346" t="s">
        <v>17</v>
      </c>
      <c r="L346" s="3">
        <v>31</v>
      </c>
      <c r="M346" s="3" t="str" cm="1">
        <f t="array" ref="M346">_xlfn.IFS(
L346&gt;=65,"Retirement Age",
AND(L346&lt;65,L346&gt;=40),"Middle Aged",
AND(L346&lt;40,L346&gt;=30),"In the 30s",
L346&lt;30,"Below 30")</f>
        <v>In the 30s</v>
      </c>
      <c r="N346" t="s">
        <v>15</v>
      </c>
    </row>
    <row r="347" spans="1:14" x14ac:dyDescent="0.25">
      <c r="A347">
        <v>17894</v>
      </c>
      <c r="B347" t="s">
        <v>36</v>
      </c>
      <c r="C347" t="s">
        <v>39</v>
      </c>
      <c r="D347" s="1">
        <v>20000</v>
      </c>
      <c r="E347" s="3">
        <v>1</v>
      </c>
      <c r="F347" t="s">
        <v>13</v>
      </c>
      <c r="G347" t="s">
        <v>20</v>
      </c>
      <c r="H347" t="s">
        <v>15</v>
      </c>
      <c r="I347" s="3">
        <v>0</v>
      </c>
      <c r="J347" t="s">
        <v>16</v>
      </c>
      <c r="K347" t="s">
        <v>17</v>
      </c>
      <c r="L347" s="3">
        <v>50</v>
      </c>
      <c r="M347" s="3" t="str" cm="1">
        <f t="array" ref="M347">_xlfn.IFS(
L347&gt;=65,"Retirement Age",
AND(L347&lt;65,L347&gt;=40),"Middle Aged",
AND(L347&lt;40,L347&gt;=30),"In the 30s",
L347&lt;30,"Below 30")</f>
        <v>Middle Aged</v>
      </c>
      <c r="N347" t="s">
        <v>15</v>
      </c>
    </row>
    <row r="348" spans="1:14" x14ac:dyDescent="0.25">
      <c r="A348">
        <v>25651</v>
      </c>
      <c r="B348" t="s">
        <v>36</v>
      </c>
      <c r="C348" t="s">
        <v>38</v>
      </c>
      <c r="D348" s="1">
        <v>40000</v>
      </c>
      <c r="E348" s="3">
        <v>1</v>
      </c>
      <c r="F348" t="s">
        <v>13</v>
      </c>
      <c r="G348" t="s">
        <v>14</v>
      </c>
      <c r="H348" t="s">
        <v>18</v>
      </c>
      <c r="I348" s="3">
        <v>0</v>
      </c>
      <c r="J348" t="s">
        <v>16</v>
      </c>
      <c r="K348" t="s">
        <v>17</v>
      </c>
      <c r="L348" s="3">
        <v>43</v>
      </c>
      <c r="M348" s="3" t="str" cm="1">
        <f t="array" ref="M348">_xlfn.IFS(
L348&gt;=65,"Retirement Age",
AND(L348&lt;65,L348&gt;=40),"Middle Aged",
AND(L348&lt;40,L348&gt;=30),"In the 30s",
L348&lt;30,"Below 30")</f>
        <v>Middle Aged</v>
      </c>
      <c r="N348" t="s">
        <v>15</v>
      </c>
    </row>
    <row r="349" spans="1:14" x14ac:dyDescent="0.25">
      <c r="A349">
        <v>22936</v>
      </c>
      <c r="B349" t="s">
        <v>37</v>
      </c>
      <c r="C349" t="s">
        <v>39</v>
      </c>
      <c r="D349" s="1">
        <v>60000</v>
      </c>
      <c r="E349" s="3">
        <v>1</v>
      </c>
      <c r="F349" t="s">
        <v>19</v>
      </c>
      <c r="G349" t="s">
        <v>14</v>
      </c>
      <c r="H349" t="s">
        <v>18</v>
      </c>
      <c r="I349" s="3">
        <v>1</v>
      </c>
      <c r="J349" t="s">
        <v>16</v>
      </c>
      <c r="K349" t="s">
        <v>24</v>
      </c>
      <c r="L349" s="3">
        <v>45</v>
      </c>
      <c r="M349" s="3" t="str" cm="1">
        <f t="array" ref="M349">_xlfn.IFS(
L349&gt;=65,"Retirement Age",
AND(L349&lt;65,L349&gt;=40),"Middle Aged",
AND(L349&lt;40,L349&gt;=30),"In the 30s",
L349&lt;30,"Below 30")</f>
        <v>Middle Aged</v>
      </c>
      <c r="N349" t="s">
        <v>15</v>
      </c>
    </row>
    <row r="350" spans="1:14" x14ac:dyDescent="0.25">
      <c r="A350">
        <v>23915</v>
      </c>
      <c r="B350" t="s">
        <v>36</v>
      </c>
      <c r="C350" t="s">
        <v>38</v>
      </c>
      <c r="D350" s="1">
        <v>20000</v>
      </c>
      <c r="E350" s="3">
        <v>2</v>
      </c>
      <c r="F350" t="s">
        <v>27</v>
      </c>
      <c r="G350" t="s">
        <v>25</v>
      </c>
      <c r="H350" t="s">
        <v>15</v>
      </c>
      <c r="I350" s="3">
        <v>2</v>
      </c>
      <c r="J350" t="s">
        <v>16</v>
      </c>
      <c r="K350" t="s">
        <v>17</v>
      </c>
      <c r="L350" s="3">
        <v>42</v>
      </c>
      <c r="M350" s="3" t="str" cm="1">
        <f t="array" ref="M350">_xlfn.IFS(
L350&gt;=65,"Retirement Age",
AND(L350&lt;65,L350&gt;=40),"Middle Aged",
AND(L350&lt;40,L350&gt;=30),"In the 30s",
L350&lt;30,"Below 30")</f>
        <v>Middle Aged</v>
      </c>
      <c r="N350" t="s">
        <v>18</v>
      </c>
    </row>
    <row r="351" spans="1:14" x14ac:dyDescent="0.25">
      <c r="A351">
        <v>24121</v>
      </c>
      <c r="B351" t="s">
        <v>37</v>
      </c>
      <c r="C351" t="s">
        <v>39</v>
      </c>
      <c r="D351" s="1">
        <v>30000</v>
      </c>
      <c r="E351" s="3">
        <v>0</v>
      </c>
      <c r="F351" t="s">
        <v>19</v>
      </c>
      <c r="G351" t="s">
        <v>20</v>
      </c>
      <c r="H351" t="s">
        <v>18</v>
      </c>
      <c r="I351" s="3">
        <v>1</v>
      </c>
      <c r="J351" t="s">
        <v>16</v>
      </c>
      <c r="K351" t="s">
        <v>17</v>
      </c>
      <c r="L351" s="3">
        <v>29</v>
      </c>
      <c r="M351" s="3" t="str" cm="1">
        <f t="array" ref="M351">_xlfn.IFS(
L351&gt;=65,"Retirement Age",
AND(L351&lt;65,L351&gt;=40),"Middle Aged",
AND(L351&lt;40,L351&gt;=30),"In the 30s",
L351&lt;30,"Below 30")</f>
        <v>Below 30</v>
      </c>
      <c r="N351" t="s">
        <v>15</v>
      </c>
    </row>
    <row r="352" spans="1:14" x14ac:dyDescent="0.25">
      <c r="A352">
        <v>27878</v>
      </c>
      <c r="B352" t="s">
        <v>37</v>
      </c>
      <c r="C352" t="s">
        <v>38</v>
      </c>
      <c r="D352" s="1">
        <v>20000</v>
      </c>
      <c r="E352" s="3">
        <v>0</v>
      </c>
      <c r="F352" t="s">
        <v>19</v>
      </c>
      <c r="G352" t="s">
        <v>25</v>
      </c>
      <c r="H352" t="s">
        <v>18</v>
      </c>
      <c r="I352" s="3">
        <v>0</v>
      </c>
      <c r="J352" t="s">
        <v>16</v>
      </c>
      <c r="K352" t="s">
        <v>24</v>
      </c>
      <c r="L352" s="3">
        <v>28</v>
      </c>
      <c r="M352" s="3" t="str" cm="1">
        <f t="array" ref="M352">_xlfn.IFS(
L352&gt;=65,"Retirement Age",
AND(L352&lt;65,L352&gt;=40),"Middle Aged",
AND(L352&lt;40,L352&gt;=30),"In the 30s",
L352&lt;30,"Below 30")</f>
        <v>Below 30</v>
      </c>
      <c r="N352" t="s">
        <v>15</v>
      </c>
    </row>
    <row r="353" spans="1:14" x14ac:dyDescent="0.25">
      <c r="A353">
        <v>13572</v>
      </c>
      <c r="B353" t="s">
        <v>37</v>
      </c>
      <c r="C353" t="s">
        <v>38</v>
      </c>
      <c r="D353" s="1">
        <v>10000</v>
      </c>
      <c r="E353" s="3">
        <v>3</v>
      </c>
      <c r="F353" t="s">
        <v>27</v>
      </c>
      <c r="G353" t="s">
        <v>25</v>
      </c>
      <c r="H353" t="s">
        <v>15</v>
      </c>
      <c r="I353" s="3">
        <v>0</v>
      </c>
      <c r="J353" t="s">
        <v>16</v>
      </c>
      <c r="K353" t="s">
        <v>17</v>
      </c>
      <c r="L353" s="3">
        <v>37</v>
      </c>
      <c r="M353" s="3" t="str" cm="1">
        <f t="array" ref="M353">_xlfn.IFS(
L353&gt;=65,"Retirement Age",
AND(L353&lt;65,L353&gt;=40),"Middle Aged",
AND(L353&lt;40,L353&gt;=30),"In the 30s",
L353&lt;30,"Below 30")</f>
        <v>In the 30s</v>
      </c>
      <c r="N353" t="s">
        <v>15</v>
      </c>
    </row>
    <row r="354" spans="1:14" x14ac:dyDescent="0.25">
      <c r="A354">
        <v>27941</v>
      </c>
      <c r="B354" t="s">
        <v>36</v>
      </c>
      <c r="C354" t="s">
        <v>39</v>
      </c>
      <c r="D354" s="1">
        <v>80000</v>
      </c>
      <c r="E354" s="3">
        <v>4</v>
      </c>
      <c r="F354" t="s">
        <v>19</v>
      </c>
      <c r="G354" t="s">
        <v>21</v>
      </c>
      <c r="H354" t="s">
        <v>15</v>
      </c>
      <c r="I354" s="3">
        <v>2</v>
      </c>
      <c r="J354" t="s">
        <v>22</v>
      </c>
      <c r="K354" t="s">
        <v>17</v>
      </c>
      <c r="L354" s="3">
        <v>53</v>
      </c>
      <c r="M354" s="3" t="str" cm="1">
        <f t="array" ref="M354">_xlfn.IFS(
L354&gt;=65,"Retirement Age",
AND(L354&lt;65,L354&gt;=40),"Middle Aged",
AND(L354&lt;40,L354&gt;=30),"In the 30s",
L354&lt;30,"Below 30")</f>
        <v>Middle Aged</v>
      </c>
      <c r="N354" t="s">
        <v>18</v>
      </c>
    </row>
    <row r="355" spans="1:14" x14ac:dyDescent="0.25">
      <c r="A355">
        <v>26354</v>
      </c>
      <c r="B355" t="s">
        <v>37</v>
      </c>
      <c r="C355" t="s">
        <v>38</v>
      </c>
      <c r="D355" s="1">
        <v>40000</v>
      </c>
      <c r="E355" s="3">
        <v>0</v>
      </c>
      <c r="F355" t="s">
        <v>31</v>
      </c>
      <c r="G355" t="s">
        <v>20</v>
      </c>
      <c r="H355" t="s">
        <v>18</v>
      </c>
      <c r="I355" s="3">
        <v>0</v>
      </c>
      <c r="J355" t="s">
        <v>16</v>
      </c>
      <c r="K355" t="s">
        <v>17</v>
      </c>
      <c r="L355" s="3">
        <v>38</v>
      </c>
      <c r="M355" s="3" t="str" cm="1">
        <f t="array" ref="M355">_xlfn.IFS(
L355&gt;=65,"Retirement Age",
AND(L355&lt;65,L355&gt;=40),"Middle Aged",
AND(L355&lt;40,L355&gt;=30),"In the 30s",
L355&lt;30,"Below 30")</f>
        <v>In the 30s</v>
      </c>
      <c r="N355" t="s">
        <v>15</v>
      </c>
    </row>
    <row r="356" spans="1:14" x14ac:dyDescent="0.25">
      <c r="A356">
        <v>14785</v>
      </c>
      <c r="B356" t="s">
        <v>37</v>
      </c>
      <c r="C356" t="s">
        <v>38</v>
      </c>
      <c r="D356" s="1">
        <v>30000</v>
      </c>
      <c r="E356" s="3">
        <v>1</v>
      </c>
      <c r="F356" t="s">
        <v>13</v>
      </c>
      <c r="G356" t="s">
        <v>20</v>
      </c>
      <c r="H356" t="s">
        <v>18</v>
      </c>
      <c r="I356" s="3">
        <v>1</v>
      </c>
      <c r="J356" t="s">
        <v>26</v>
      </c>
      <c r="K356" t="s">
        <v>17</v>
      </c>
      <c r="L356" s="3">
        <v>39</v>
      </c>
      <c r="M356" s="3" t="str" cm="1">
        <f t="array" ref="M356">_xlfn.IFS(
L356&gt;=65,"Retirement Age",
AND(L356&lt;65,L356&gt;=40),"Middle Aged",
AND(L356&lt;40,L356&gt;=30),"In the 30s",
L356&lt;30,"Below 30")</f>
        <v>In the 30s</v>
      </c>
      <c r="N356" t="s">
        <v>18</v>
      </c>
    </row>
    <row r="357" spans="1:14" x14ac:dyDescent="0.25">
      <c r="A357">
        <v>17238</v>
      </c>
      <c r="B357" t="s">
        <v>37</v>
      </c>
      <c r="C357" t="s">
        <v>38</v>
      </c>
      <c r="D357" s="1">
        <v>80000</v>
      </c>
      <c r="E357" s="3">
        <v>0</v>
      </c>
      <c r="F357" t="s">
        <v>13</v>
      </c>
      <c r="G357" t="s">
        <v>21</v>
      </c>
      <c r="H357" t="s">
        <v>15</v>
      </c>
      <c r="I357" s="3">
        <v>3</v>
      </c>
      <c r="J357" t="s">
        <v>45</v>
      </c>
      <c r="K357" t="s">
        <v>24</v>
      </c>
      <c r="L357" s="3">
        <v>32</v>
      </c>
      <c r="M357" s="3" t="str" cm="1">
        <f t="array" ref="M357">_xlfn.IFS(
L357&gt;=65,"Retirement Age",
AND(L357&lt;65,L357&gt;=40),"Middle Aged",
AND(L357&lt;40,L357&gt;=30),"In the 30s",
L357&lt;30,"Below 30")</f>
        <v>In the 30s</v>
      </c>
      <c r="N357" t="s">
        <v>18</v>
      </c>
    </row>
    <row r="358" spans="1:14" x14ac:dyDescent="0.25">
      <c r="A358">
        <v>23608</v>
      </c>
      <c r="B358" t="s">
        <v>36</v>
      </c>
      <c r="C358" t="s">
        <v>39</v>
      </c>
      <c r="D358" s="1">
        <v>150000</v>
      </c>
      <c r="E358" s="3">
        <v>3</v>
      </c>
      <c r="F358" t="s">
        <v>27</v>
      </c>
      <c r="G358" t="s">
        <v>21</v>
      </c>
      <c r="H358" t="s">
        <v>15</v>
      </c>
      <c r="I358" s="3">
        <v>3</v>
      </c>
      <c r="J358" t="s">
        <v>16</v>
      </c>
      <c r="K358" t="s">
        <v>17</v>
      </c>
      <c r="L358" s="3">
        <v>51</v>
      </c>
      <c r="M358" s="3" t="str" cm="1">
        <f t="array" ref="M358">_xlfn.IFS(
L358&gt;=65,"Retirement Age",
AND(L358&lt;65,L358&gt;=40),"Middle Aged",
AND(L358&lt;40,L358&gt;=30),"In the 30s",
L358&lt;30,"Below 30")</f>
        <v>Middle Aged</v>
      </c>
      <c r="N358" t="s">
        <v>15</v>
      </c>
    </row>
    <row r="359" spans="1:14" x14ac:dyDescent="0.25">
      <c r="A359">
        <v>22538</v>
      </c>
      <c r="B359" t="s">
        <v>37</v>
      </c>
      <c r="C359" t="s">
        <v>39</v>
      </c>
      <c r="D359" s="1">
        <v>10000</v>
      </c>
      <c r="E359" s="3">
        <v>0</v>
      </c>
      <c r="F359" t="s">
        <v>29</v>
      </c>
      <c r="G359" t="s">
        <v>25</v>
      </c>
      <c r="H359" t="s">
        <v>15</v>
      </c>
      <c r="I359" s="3">
        <v>2</v>
      </c>
      <c r="J359" t="s">
        <v>26</v>
      </c>
      <c r="K359" t="s">
        <v>17</v>
      </c>
      <c r="L359" s="3">
        <v>33</v>
      </c>
      <c r="M359" s="3" t="str" cm="1">
        <f t="array" ref="M359">_xlfn.IFS(
L359&gt;=65,"Retirement Age",
AND(L359&lt;65,L359&gt;=40),"Middle Aged",
AND(L359&lt;40,L359&gt;=30),"In the 30s",
L359&lt;30,"Below 30")</f>
        <v>In the 30s</v>
      </c>
      <c r="N359" t="s">
        <v>18</v>
      </c>
    </row>
    <row r="360" spans="1:14" x14ac:dyDescent="0.25">
      <c r="A360">
        <v>12332</v>
      </c>
      <c r="B360" t="s">
        <v>36</v>
      </c>
      <c r="C360" t="s">
        <v>38</v>
      </c>
      <c r="D360" s="1">
        <v>90000</v>
      </c>
      <c r="E360" s="3">
        <v>4</v>
      </c>
      <c r="F360" t="s">
        <v>27</v>
      </c>
      <c r="G360" t="s">
        <v>28</v>
      </c>
      <c r="H360" t="s">
        <v>15</v>
      </c>
      <c r="I360" s="3">
        <v>3</v>
      </c>
      <c r="J360" t="s">
        <v>23</v>
      </c>
      <c r="K360" t="s">
        <v>17</v>
      </c>
      <c r="L360" s="3">
        <v>58</v>
      </c>
      <c r="M360" s="3" t="str" cm="1">
        <f t="array" ref="M360">_xlfn.IFS(
L360&gt;=65,"Retirement Age",
AND(L360&lt;65,L360&gt;=40),"Middle Aged",
AND(L360&lt;40,L360&gt;=30),"In the 30s",
L360&lt;30,"Below 30")</f>
        <v>Middle Aged</v>
      </c>
      <c r="N360" t="s">
        <v>15</v>
      </c>
    </row>
    <row r="361" spans="1:14" x14ac:dyDescent="0.25">
      <c r="A361">
        <v>17230</v>
      </c>
      <c r="B361" t="s">
        <v>36</v>
      </c>
      <c r="C361" t="s">
        <v>38</v>
      </c>
      <c r="D361" s="1">
        <v>80000</v>
      </c>
      <c r="E361" s="3">
        <v>0</v>
      </c>
      <c r="F361" t="s">
        <v>13</v>
      </c>
      <c r="G361" t="s">
        <v>21</v>
      </c>
      <c r="H361" t="s">
        <v>15</v>
      </c>
      <c r="I361" s="3">
        <v>3</v>
      </c>
      <c r="J361" t="s">
        <v>45</v>
      </c>
      <c r="K361" t="s">
        <v>24</v>
      </c>
      <c r="L361" s="3">
        <v>30</v>
      </c>
      <c r="M361" s="3" t="str" cm="1">
        <f t="array" ref="M361">_xlfn.IFS(
L361&gt;=65,"Retirement Age",
AND(L361&lt;65,L361&gt;=40),"Middle Aged",
AND(L361&lt;40,L361&gt;=30),"In the 30s",
L361&lt;30,"Below 30")</f>
        <v>In the 30s</v>
      </c>
      <c r="N361" t="s">
        <v>18</v>
      </c>
    </row>
    <row r="362" spans="1:14" x14ac:dyDescent="0.25">
      <c r="A362">
        <v>13082</v>
      </c>
      <c r="B362" t="s">
        <v>37</v>
      </c>
      <c r="C362" t="s">
        <v>38</v>
      </c>
      <c r="D362" s="1">
        <v>130000</v>
      </c>
      <c r="E362" s="3">
        <v>0</v>
      </c>
      <c r="F362" t="s">
        <v>31</v>
      </c>
      <c r="G362" t="s">
        <v>28</v>
      </c>
      <c r="H362" t="s">
        <v>15</v>
      </c>
      <c r="I362" s="3">
        <v>0</v>
      </c>
      <c r="J362" t="s">
        <v>22</v>
      </c>
      <c r="K362" t="s">
        <v>24</v>
      </c>
      <c r="L362" s="3">
        <v>48</v>
      </c>
      <c r="M362" s="3" t="str" cm="1">
        <f t="array" ref="M362">_xlfn.IFS(
L362&gt;=65,"Retirement Age",
AND(L362&lt;65,L362&gt;=40),"Middle Aged",
AND(L362&lt;40,L362&gt;=30),"In the 30s",
L362&lt;30,"Below 30")</f>
        <v>Middle Aged</v>
      </c>
      <c r="N362" t="s">
        <v>15</v>
      </c>
    </row>
    <row r="363" spans="1:14" x14ac:dyDescent="0.25">
      <c r="A363">
        <v>22518</v>
      </c>
      <c r="B363" t="s">
        <v>37</v>
      </c>
      <c r="C363" t="s">
        <v>39</v>
      </c>
      <c r="D363" s="1">
        <v>30000</v>
      </c>
      <c r="E363" s="3">
        <v>3</v>
      </c>
      <c r="F363" t="s">
        <v>19</v>
      </c>
      <c r="G363" t="s">
        <v>20</v>
      </c>
      <c r="H363" t="s">
        <v>18</v>
      </c>
      <c r="I363" s="3">
        <v>2</v>
      </c>
      <c r="J363" t="s">
        <v>16</v>
      </c>
      <c r="K363" t="s">
        <v>17</v>
      </c>
      <c r="L363" s="3">
        <v>27</v>
      </c>
      <c r="M363" s="3" t="str" cm="1">
        <f t="array" ref="M363">_xlfn.IFS(
L363&gt;=65,"Retirement Age",
AND(L363&lt;65,L363&gt;=40),"Middle Aged",
AND(L363&lt;40,L363&gt;=30),"In the 30s",
L363&lt;30,"Below 30")</f>
        <v>Below 30</v>
      </c>
      <c r="N363" t="s">
        <v>15</v>
      </c>
    </row>
    <row r="364" spans="1:14" x14ac:dyDescent="0.25">
      <c r="A364">
        <v>13687</v>
      </c>
      <c r="B364" t="s">
        <v>36</v>
      </c>
      <c r="C364" t="s">
        <v>38</v>
      </c>
      <c r="D364" s="1">
        <v>40000</v>
      </c>
      <c r="E364" s="3">
        <v>1</v>
      </c>
      <c r="F364" t="s">
        <v>13</v>
      </c>
      <c r="G364" t="s">
        <v>14</v>
      </c>
      <c r="H364" t="s">
        <v>15</v>
      </c>
      <c r="I364" s="3">
        <v>1</v>
      </c>
      <c r="J364" t="s">
        <v>16</v>
      </c>
      <c r="K364" t="s">
        <v>17</v>
      </c>
      <c r="L364" s="3">
        <v>33</v>
      </c>
      <c r="M364" s="3" t="str" cm="1">
        <f t="array" ref="M364">_xlfn.IFS(
L364&gt;=65,"Retirement Age",
AND(L364&lt;65,L364&gt;=40),"Middle Aged",
AND(L364&lt;40,L364&gt;=30),"In the 30s",
L364&lt;30,"Below 30")</f>
        <v>In the 30s</v>
      </c>
      <c r="N364" t="s">
        <v>15</v>
      </c>
    </row>
    <row r="365" spans="1:14" x14ac:dyDescent="0.25">
      <c r="A365">
        <v>23571</v>
      </c>
      <c r="B365" t="s">
        <v>36</v>
      </c>
      <c r="C365" t="s">
        <v>39</v>
      </c>
      <c r="D365" s="1">
        <v>40000</v>
      </c>
      <c r="E365" s="3">
        <v>2</v>
      </c>
      <c r="F365" t="s">
        <v>13</v>
      </c>
      <c r="G365" t="s">
        <v>28</v>
      </c>
      <c r="H365" t="s">
        <v>15</v>
      </c>
      <c r="I365" s="3">
        <v>2</v>
      </c>
      <c r="J365" t="s">
        <v>16</v>
      </c>
      <c r="K365" t="s">
        <v>24</v>
      </c>
      <c r="L365" s="3">
        <v>66</v>
      </c>
      <c r="M365" s="3" t="str" cm="1">
        <f t="array" ref="M365">_xlfn.IFS(
L365&gt;=65,"Retirement Age",
AND(L365&lt;65,L365&gt;=40),"Middle Aged",
AND(L365&lt;40,L365&gt;=30),"In the 30s",
L365&lt;30,"Below 30")</f>
        <v>Retirement Age</v>
      </c>
      <c r="N365" t="s">
        <v>15</v>
      </c>
    </row>
    <row r="366" spans="1:14" x14ac:dyDescent="0.25">
      <c r="A366">
        <v>19305</v>
      </c>
      <c r="B366" t="s">
        <v>37</v>
      </c>
      <c r="C366" t="s">
        <v>39</v>
      </c>
      <c r="D366" s="1">
        <v>10000</v>
      </c>
      <c r="E366" s="3">
        <v>2</v>
      </c>
      <c r="F366" t="s">
        <v>27</v>
      </c>
      <c r="G366" t="s">
        <v>25</v>
      </c>
      <c r="H366" t="s">
        <v>15</v>
      </c>
      <c r="I366" s="3">
        <v>1</v>
      </c>
      <c r="J366" t="s">
        <v>16</v>
      </c>
      <c r="K366" t="s">
        <v>17</v>
      </c>
      <c r="L366" s="3">
        <v>38</v>
      </c>
      <c r="M366" s="3" t="str" cm="1">
        <f t="array" ref="M366">_xlfn.IFS(
L366&gt;=65,"Retirement Age",
AND(L366&lt;65,L366&gt;=40),"Middle Aged",
AND(L366&lt;40,L366&gt;=30),"In the 30s",
L366&lt;30,"Below 30")</f>
        <v>In the 30s</v>
      </c>
      <c r="N366" t="s">
        <v>15</v>
      </c>
    </row>
    <row r="367" spans="1:14" x14ac:dyDescent="0.25">
      <c r="A367">
        <v>22636</v>
      </c>
      <c r="B367" t="s">
        <v>37</v>
      </c>
      <c r="C367" t="s">
        <v>39</v>
      </c>
      <c r="D367" s="1">
        <v>40000</v>
      </c>
      <c r="E367" s="3">
        <v>0</v>
      </c>
      <c r="F367" t="s">
        <v>13</v>
      </c>
      <c r="G367" t="s">
        <v>20</v>
      </c>
      <c r="H367" t="s">
        <v>18</v>
      </c>
      <c r="I367" s="3">
        <v>0</v>
      </c>
      <c r="J367" t="s">
        <v>16</v>
      </c>
      <c r="K367" t="s">
        <v>17</v>
      </c>
      <c r="L367" s="3">
        <v>38</v>
      </c>
      <c r="M367" s="3" t="str" cm="1">
        <f t="array" ref="M367">_xlfn.IFS(
L367&gt;=65,"Retirement Age",
AND(L367&lt;65,L367&gt;=40),"Middle Aged",
AND(L367&lt;40,L367&gt;=30),"In the 30s",
L367&lt;30,"Below 30")</f>
        <v>In the 30s</v>
      </c>
      <c r="N367" t="s">
        <v>15</v>
      </c>
    </row>
    <row r="368" spans="1:14" x14ac:dyDescent="0.25">
      <c r="A368">
        <v>17310</v>
      </c>
      <c r="B368" t="s">
        <v>36</v>
      </c>
      <c r="C368" t="s">
        <v>38</v>
      </c>
      <c r="D368" s="1">
        <v>60000</v>
      </c>
      <c r="E368" s="3">
        <v>1</v>
      </c>
      <c r="F368" t="s">
        <v>19</v>
      </c>
      <c r="G368" t="s">
        <v>14</v>
      </c>
      <c r="H368" t="s">
        <v>15</v>
      </c>
      <c r="I368" s="3">
        <v>1</v>
      </c>
      <c r="J368" t="s">
        <v>16</v>
      </c>
      <c r="K368" t="s">
        <v>24</v>
      </c>
      <c r="L368" s="3">
        <v>45</v>
      </c>
      <c r="M368" s="3" t="str" cm="1">
        <f t="array" ref="M368">_xlfn.IFS(
L368&gt;=65,"Retirement Age",
AND(L368&lt;65,L368&gt;=40),"Middle Aged",
AND(L368&lt;40,L368&gt;=30),"In the 30s",
L368&lt;30,"Below 30")</f>
        <v>Middle Aged</v>
      </c>
      <c r="N368" t="s">
        <v>15</v>
      </c>
    </row>
    <row r="369" spans="1:14" x14ac:dyDescent="0.25">
      <c r="A369">
        <v>12133</v>
      </c>
      <c r="B369" t="s">
        <v>36</v>
      </c>
      <c r="C369" t="s">
        <v>39</v>
      </c>
      <c r="D369" s="1">
        <v>130000</v>
      </c>
      <c r="E369" s="3">
        <v>3</v>
      </c>
      <c r="F369" t="s">
        <v>19</v>
      </c>
      <c r="G369" t="s">
        <v>21</v>
      </c>
      <c r="H369" t="s">
        <v>15</v>
      </c>
      <c r="I369" s="3">
        <v>3</v>
      </c>
      <c r="J369" t="s">
        <v>23</v>
      </c>
      <c r="K369" t="s">
        <v>17</v>
      </c>
      <c r="L369" s="3">
        <v>50</v>
      </c>
      <c r="M369" s="3" t="str" cm="1">
        <f t="array" ref="M369">_xlfn.IFS(
L369&gt;=65,"Retirement Age",
AND(L369&lt;65,L369&gt;=40),"Middle Aged",
AND(L369&lt;40,L369&gt;=30),"In the 30s",
L369&lt;30,"Below 30")</f>
        <v>Middle Aged</v>
      </c>
      <c r="N369" t="s">
        <v>15</v>
      </c>
    </row>
    <row r="370" spans="1:14" x14ac:dyDescent="0.25">
      <c r="A370">
        <v>25918</v>
      </c>
      <c r="B370" t="s">
        <v>37</v>
      </c>
      <c r="C370" t="s">
        <v>39</v>
      </c>
      <c r="D370" s="1">
        <v>30000</v>
      </c>
      <c r="E370" s="3">
        <v>2</v>
      </c>
      <c r="F370" t="s">
        <v>19</v>
      </c>
      <c r="G370" t="s">
        <v>20</v>
      </c>
      <c r="H370" t="s">
        <v>18</v>
      </c>
      <c r="I370" s="3">
        <v>2</v>
      </c>
      <c r="J370" t="s">
        <v>23</v>
      </c>
      <c r="K370" t="s">
        <v>24</v>
      </c>
      <c r="L370" s="3">
        <v>60</v>
      </c>
      <c r="M370" s="3" t="str" cm="1">
        <f t="array" ref="M370">_xlfn.IFS(
L370&gt;=65,"Retirement Age",
AND(L370&lt;65,L370&gt;=40),"Middle Aged",
AND(L370&lt;40,L370&gt;=30),"In the 30s",
L370&lt;30,"Below 30")</f>
        <v>Middle Aged</v>
      </c>
      <c r="N370" t="s">
        <v>15</v>
      </c>
    </row>
    <row r="371" spans="1:14" x14ac:dyDescent="0.25">
      <c r="A371">
        <v>25752</v>
      </c>
      <c r="B371" t="s">
        <v>37</v>
      </c>
      <c r="C371" t="s">
        <v>39</v>
      </c>
      <c r="D371" s="1">
        <v>20000</v>
      </c>
      <c r="E371" s="3">
        <v>2</v>
      </c>
      <c r="F371" t="s">
        <v>19</v>
      </c>
      <c r="G371" t="s">
        <v>25</v>
      </c>
      <c r="H371" t="s">
        <v>18</v>
      </c>
      <c r="I371" s="3">
        <v>1</v>
      </c>
      <c r="J371" t="s">
        <v>16</v>
      </c>
      <c r="K371" t="s">
        <v>17</v>
      </c>
      <c r="L371" s="3">
        <v>53</v>
      </c>
      <c r="M371" s="3" t="str" cm="1">
        <f t="array" ref="M371">_xlfn.IFS(
L371&gt;=65,"Retirement Age",
AND(L371&lt;65,L371&gt;=40),"Middle Aged",
AND(L371&lt;40,L371&gt;=30),"In the 30s",
L371&lt;30,"Below 30")</f>
        <v>Middle Aged</v>
      </c>
      <c r="N371" t="s">
        <v>15</v>
      </c>
    </row>
    <row r="372" spans="1:14" x14ac:dyDescent="0.25">
      <c r="A372">
        <v>17324</v>
      </c>
      <c r="B372" t="s">
        <v>36</v>
      </c>
      <c r="C372" t="s">
        <v>39</v>
      </c>
      <c r="D372" s="1">
        <v>100000</v>
      </c>
      <c r="E372" s="3">
        <v>4</v>
      </c>
      <c r="F372" t="s">
        <v>13</v>
      </c>
      <c r="G372" t="s">
        <v>21</v>
      </c>
      <c r="H372" t="s">
        <v>15</v>
      </c>
      <c r="I372" s="3">
        <v>1</v>
      </c>
      <c r="J372" t="s">
        <v>45</v>
      </c>
      <c r="K372" t="s">
        <v>24</v>
      </c>
      <c r="L372" s="3">
        <v>46</v>
      </c>
      <c r="M372" s="3" t="str" cm="1">
        <f t="array" ref="M372">_xlfn.IFS(
L372&gt;=65,"Retirement Age",
AND(L372&lt;65,L372&gt;=40),"Middle Aged",
AND(L372&lt;40,L372&gt;=30),"In the 30s",
L372&lt;30,"Below 30")</f>
        <v>Middle Aged</v>
      </c>
      <c r="N372" t="s">
        <v>18</v>
      </c>
    </row>
    <row r="373" spans="1:14" x14ac:dyDescent="0.25">
      <c r="A373">
        <v>22918</v>
      </c>
      <c r="B373" t="s">
        <v>37</v>
      </c>
      <c r="C373" t="s">
        <v>38</v>
      </c>
      <c r="D373" s="1">
        <v>80000</v>
      </c>
      <c r="E373" s="3">
        <v>5</v>
      </c>
      <c r="F373" t="s">
        <v>31</v>
      </c>
      <c r="G373" t="s">
        <v>28</v>
      </c>
      <c r="H373" t="s">
        <v>15</v>
      </c>
      <c r="I373" s="3">
        <v>3</v>
      </c>
      <c r="J373" t="s">
        <v>16</v>
      </c>
      <c r="K373" t="s">
        <v>24</v>
      </c>
      <c r="L373" s="3">
        <v>50</v>
      </c>
      <c r="M373" s="3" t="str" cm="1">
        <f t="array" ref="M373">_xlfn.IFS(
L373&gt;=65,"Retirement Age",
AND(L373&lt;65,L373&gt;=40),"Middle Aged",
AND(L373&lt;40,L373&gt;=30),"In the 30s",
L373&lt;30,"Below 30")</f>
        <v>Middle Aged</v>
      </c>
      <c r="N373" t="s">
        <v>18</v>
      </c>
    </row>
    <row r="374" spans="1:14" x14ac:dyDescent="0.25">
      <c r="A374">
        <v>12510</v>
      </c>
      <c r="B374" t="s">
        <v>36</v>
      </c>
      <c r="C374" t="s">
        <v>38</v>
      </c>
      <c r="D374" s="1">
        <v>40000</v>
      </c>
      <c r="E374" s="3">
        <v>1</v>
      </c>
      <c r="F374" t="s">
        <v>13</v>
      </c>
      <c r="G374" t="s">
        <v>14</v>
      </c>
      <c r="H374" t="s">
        <v>15</v>
      </c>
      <c r="I374" s="3">
        <v>1</v>
      </c>
      <c r="J374" t="s">
        <v>16</v>
      </c>
      <c r="K374" t="s">
        <v>17</v>
      </c>
      <c r="L374" s="3">
        <v>43</v>
      </c>
      <c r="M374" s="3" t="str" cm="1">
        <f t="array" ref="M374">_xlfn.IFS(
L374&gt;=65,"Retirement Age",
AND(L374&lt;65,L374&gt;=40),"Middle Aged",
AND(L374&lt;40,L374&gt;=30),"In the 30s",
L374&lt;30,"Below 30")</f>
        <v>Middle Aged</v>
      </c>
      <c r="N374" t="s">
        <v>15</v>
      </c>
    </row>
    <row r="375" spans="1:14" x14ac:dyDescent="0.25">
      <c r="A375">
        <v>25512</v>
      </c>
      <c r="B375" t="s">
        <v>37</v>
      </c>
      <c r="C375" t="s">
        <v>38</v>
      </c>
      <c r="D375" s="1">
        <v>20000</v>
      </c>
      <c r="E375" s="3">
        <v>0</v>
      </c>
      <c r="F375" t="s">
        <v>27</v>
      </c>
      <c r="G375" t="s">
        <v>25</v>
      </c>
      <c r="H375" t="s">
        <v>18</v>
      </c>
      <c r="I375" s="3">
        <v>1</v>
      </c>
      <c r="J375" t="s">
        <v>22</v>
      </c>
      <c r="K375" t="s">
        <v>17</v>
      </c>
      <c r="L375" s="3">
        <v>30</v>
      </c>
      <c r="M375" s="3" t="str" cm="1">
        <f t="array" ref="M375">_xlfn.IFS(
L375&gt;=65,"Retirement Age",
AND(L375&lt;65,L375&gt;=40),"Middle Aged",
AND(L375&lt;40,L375&gt;=30),"In the 30s",
L375&lt;30,"Below 30")</f>
        <v>In the 30s</v>
      </c>
      <c r="N375" t="s">
        <v>18</v>
      </c>
    </row>
    <row r="376" spans="1:14" x14ac:dyDescent="0.25">
      <c r="A376">
        <v>16179</v>
      </c>
      <c r="B376" t="s">
        <v>37</v>
      </c>
      <c r="C376" t="s">
        <v>39</v>
      </c>
      <c r="D376" s="1">
        <v>80000</v>
      </c>
      <c r="E376" s="3">
        <v>5</v>
      </c>
      <c r="F376" t="s">
        <v>13</v>
      </c>
      <c r="G376" t="s">
        <v>21</v>
      </c>
      <c r="H376" t="s">
        <v>15</v>
      </c>
      <c r="I376" s="3">
        <v>4</v>
      </c>
      <c r="J376" t="s">
        <v>26</v>
      </c>
      <c r="K376" t="s">
        <v>24</v>
      </c>
      <c r="L376" s="3">
        <v>38</v>
      </c>
      <c r="M376" s="3" t="str" cm="1">
        <f t="array" ref="M376">_xlfn.IFS(
L376&gt;=65,"Retirement Age",
AND(L376&lt;65,L376&gt;=40),"Middle Aged",
AND(L376&lt;40,L376&gt;=30),"In the 30s",
L376&lt;30,"Below 30")</f>
        <v>In the 30s</v>
      </c>
      <c r="N376" t="s">
        <v>18</v>
      </c>
    </row>
    <row r="377" spans="1:14" x14ac:dyDescent="0.25">
      <c r="A377">
        <v>15628</v>
      </c>
      <c r="B377" t="s">
        <v>36</v>
      </c>
      <c r="C377" t="s">
        <v>39</v>
      </c>
      <c r="D377" s="1">
        <v>40000</v>
      </c>
      <c r="E377" s="3">
        <v>1</v>
      </c>
      <c r="F377" t="s">
        <v>13</v>
      </c>
      <c r="G377" t="s">
        <v>14</v>
      </c>
      <c r="H377" t="s">
        <v>15</v>
      </c>
      <c r="I377" s="3">
        <v>1</v>
      </c>
      <c r="J377" t="s">
        <v>16</v>
      </c>
      <c r="K377" t="s">
        <v>17</v>
      </c>
      <c r="L377" s="3">
        <v>89</v>
      </c>
      <c r="M377" s="3" t="str" cm="1">
        <f t="array" ref="M377">_xlfn.IFS(
L377&gt;=65,"Retirement Age",
AND(L377&lt;65,L377&gt;=40),"Middle Aged",
AND(L377&lt;40,L377&gt;=30),"In the 30s",
L377&lt;30,"Below 30")</f>
        <v>Retirement Age</v>
      </c>
      <c r="N377" t="s">
        <v>18</v>
      </c>
    </row>
    <row r="378" spans="1:14" x14ac:dyDescent="0.25">
      <c r="A378">
        <v>20977</v>
      </c>
      <c r="B378" t="s">
        <v>36</v>
      </c>
      <c r="C378" t="s">
        <v>38</v>
      </c>
      <c r="D378" s="1">
        <v>20000</v>
      </c>
      <c r="E378" s="3">
        <v>1</v>
      </c>
      <c r="F378" t="s">
        <v>13</v>
      </c>
      <c r="G378" t="s">
        <v>20</v>
      </c>
      <c r="H378" t="s">
        <v>15</v>
      </c>
      <c r="I378" s="3">
        <v>0</v>
      </c>
      <c r="J378" t="s">
        <v>16</v>
      </c>
      <c r="K378" t="s">
        <v>17</v>
      </c>
      <c r="L378" s="3">
        <v>64</v>
      </c>
      <c r="M378" s="3" t="str" cm="1">
        <f t="array" ref="M378">_xlfn.IFS(
L378&gt;=65,"Retirement Age",
AND(L378&lt;65,L378&gt;=40),"Middle Aged",
AND(L378&lt;40,L378&gt;=30),"In the 30s",
L378&lt;30,"Below 30")</f>
        <v>Middle Aged</v>
      </c>
      <c r="N378" t="s">
        <v>15</v>
      </c>
    </row>
    <row r="379" spans="1:14" x14ac:dyDescent="0.25">
      <c r="A379">
        <v>18140</v>
      </c>
      <c r="B379" t="s">
        <v>36</v>
      </c>
      <c r="C379" t="s">
        <v>38</v>
      </c>
      <c r="D379" s="1">
        <v>130000</v>
      </c>
      <c r="E379" s="3">
        <v>3</v>
      </c>
      <c r="F379" t="s">
        <v>19</v>
      </c>
      <c r="G379" t="s">
        <v>21</v>
      </c>
      <c r="H379" t="s">
        <v>18</v>
      </c>
      <c r="I379" s="3">
        <v>3</v>
      </c>
      <c r="J379" t="s">
        <v>23</v>
      </c>
      <c r="K379" t="s">
        <v>17</v>
      </c>
      <c r="L379" s="3">
        <v>51</v>
      </c>
      <c r="M379" s="3" t="str" cm="1">
        <f t="array" ref="M379">_xlfn.IFS(
L379&gt;=65,"Retirement Age",
AND(L379&lt;65,L379&gt;=40),"Middle Aged",
AND(L379&lt;40,L379&gt;=30),"In the 30s",
L379&lt;30,"Below 30")</f>
        <v>Middle Aged</v>
      </c>
      <c r="N379" t="s">
        <v>15</v>
      </c>
    </row>
    <row r="380" spans="1:14" x14ac:dyDescent="0.25">
      <c r="A380">
        <v>20417</v>
      </c>
      <c r="B380" t="s">
        <v>36</v>
      </c>
      <c r="C380" t="s">
        <v>38</v>
      </c>
      <c r="D380" s="1">
        <v>30000</v>
      </c>
      <c r="E380" s="3">
        <v>3</v>
      </c>
      <c r="F380" t="s">
        <v>19</v>
      </c>
      <c r="G380" t="s">
        <v>20</v>
      </c>
      <c r="H380" t="s">
        <v>18</v>
      </c>
      <c r="I380" s="3">
        <v>2</v>
      </c>
      <c r="J380" t="s">
        <v>23</v>
      </c>
      <c r="K380" t="s">
        <v>24</v>
      </c>
      <c r="L380" s="3">
        <v>56</v>
      </c>
      <c r="M380" s="3" t="str" cm="1">
        <f t="array" ref="M380">_xlfn.IFS(
L380&gt;=65,"Retirement Age",
AND(L380&lt;65,L380&gt;=40),"Middle Aged",
AND(L380&lt;40,L380&gt;=30),"In the 30s",
L380&lt;30,"Below 30")</f>
        <v>Middle Aged</v>
      </c>
      <c r="N380" t="s">
        <v>18</v>
      </c>
    </row>
    <row r="381" spans="1:14" x14ac:dyDescent="0.25">
      <c r="A381">
        <v>18267</v>
      </c>
      <c r="B381" t="s">
        <v>36</v>
      </c>
      <c r="C381" t="s">
        <v>38</v>
      </c>
      <c r="D381" s="1">
        <v>60000</v>
      </c>
      <c r="E381" s="3">
        <v>3</v>
      </c>
      <c r="F381" t="s">
        <v>13</v>
      </c>
      <c r="G381" t="s">
        <v>21</v>
      </c>
      <c r="H381" t="s">
        <v>15</v>
      </c>
      <c r="I381" s="3">
        <v>2</v>
      </c>
      <c r="J381" t="s">
        <v>23</v>
      </c>
      <c r="K381" t="s">
        <v>24</v>
      </c>
      <c r="L381" s="3">
        <v>43</v>
      </c>
      <c r="M381" s="3" t="str" cm="1">
        <f t="array" ref="M381">_xlfn.IFS(
L381&gt;=65,"Retirement Age",
AND(L381&lt;65,L381&gt;=40),"Middle Aged",
AND(L381&lt;40,L381&gt;=30),"In the 30s",
L381&lt;30,"Below 30")</f>
        <v>Middle Aged</v>
      </c>
      <c r="N381" t="s">
        <v>18</v>
      </c>
    </row>
    <row r="382" spans="1:14" x14ac:dyDescent="0.25">
      <c r="A382">
        <v>13620</v>
      </c>
      <c r="B382" t="s">
        <v>37</v>
      </c>
      <c r="C382" t="s">
        <v>38</v>
      </c>
      <c r="D382" s="1">
        <v>70000</v>
      </c>
      <c r="E382" s="3">
        <v>0</v>
      </c>
      <c r="F382" t="s">
        <v>13</v>
      </c>
      <c r="G382" t="s">
        <v>21</v>
      </c>
      <c r="H382" t="s">
        <v>18</v>
      </c>
      <c r="I382" s="3">
        <v>3</v>
      </c>
      <c r="J382" t="s">
        <v>45</v>
      </c>
      <c r="K382" t="s">
        <v>24</v>
      </c>
      <c r="L382" s="3">
        <v>30</v>
      </c>
      <c r="M382" s="3" t="str" cm="1">
        <f t="array" ref="M382">_xlfn.IFS(
L382&gt;=65,"Retirement Age",
AND(L382&lt;65,L382&gt;=40),"Middle Aged",
AND(L382&lt;40,L382&gt;=30),"In the 30s",
L382&lt;30,"Below 30")</f>
        <v>In the 30s</v>
      </c>
      <c r="N382" t="s">
        <v>15</v>
      </c>
    </row>
    <row r="383" spans="1:14" x14ac:dyDescent="0.25">
      <c r="A383">
        <v>22974</v>
      </c>
      <c r="B383" t="s">
        <v>36</v>
      </c>
      <c r="C383" t="s">
        <v>39</v>
      </c>
      <c r="D383" s="1">
        <v>30000</v>
      </c>
      <c r="E383" s="3">
        <v>2</v>
      </c>
      <c r="F383" t="s">
        <v>19</v>
      </c>
      <c r="G383" t="s">
        <v>20</v>
      </c>
      <c r="H383" t="s">
        <v>15</v>
      </c>
      <c r="I383" s="3">
        <v>2</v>
      </c>
      <c r="J383" t="s">
        <v>23</v>
      </c>
      <c r="K383" t="s">
        <v>24</v>
      </c>
      <c r="L383" s="3">
        <v>69</v>
      </c>
      <c r="M383" s="3" t="str" cm="1">
        <f t="array" ref="M383">_xlfn.IFS(
L383&gt;=65,"Retirement Age",
AND(L383&lt;65,L383&gt;=40),"Middle Aged",
AND(L383&lt;40,L383&gt;=30),"In the 30s",
L383&lt;30,"Below 30")</f>
        <v>Retirement Age</v>
      </c>
      <c r="N383" t="s">
        <v>18</v>
      </c>
    </row>
    <row r="384" spans="1:14" x14ac:dyDescent="0.25">
      <c r="A384">
        <v>13586</v>
      </c>
      <c r="B384" t="s">
        <v>36</v>
      </c>
      <c r="C384" t="s">
        <v>38</v>
      </c>
      <c r="D384" s="1">
        <v>80000</v>
      </c>
      <c r="E384" s="3">
        <v>4</v>
      </c>
      <c r="F384" t="s">
        <v>19</v>
      </c>
      <c r="G384" t="s">
        <v>21</v>
      </c>
      <c r="H384" t="s">
        <v>15</v>
      </c>
      <c r="I384" s="3">
        <v>2</v>
      </c>
      <c r="J384" t="s">
        <v>45</v>
      </c>
      <c r="K384" t="s">
        <v>17</v>
      </c>
      <c r="L384" s="3">
        <v>53</v>
      </c>
      <c r="M384" s="3" t="str" cm="1">
        <f t="array" ref="M384">_xlfn.IFS(
L384&gt;=65,"Retirement Age",
AND(L384&lt;65,L384&gt;=40),"Middle Aged",
AND(L384&lt;40,L384&gt;=30),"In the 30s",
L384&lt;30,"Below 30")</f>
        <v>Middle Aged</v>
      </c>
      <c r="N384" t="s">
        <v>18</v>
      </c>
    </row>
    <row r="385" spans="1:14" x14ac:dyDescent="0.25">
      <c r="A385">
        <v>17978</v>
      </c>
      <c r="B385" t="s">
        <v>36</v>
      </c>
      <c r="C385" t="s">
        <v>38</v>
      </c>
      <c r="D385" s="1">
        <v>40000</v>
      </c>
      <c r="E385" s="3">
        <v>0</v>
      </c>
      <c r="F385" t="s">
        <v>31</v>
      </c>
      <c r="G385" t="s">
        <v>20</v>
      </c>
      <c r="H385" t="s">
        <v>15</v>
      </c>
      <c r="I385" s="3">
        <v>0</v>
      </c>
      <c r="J385" t="s">
        <v>16</v>
      </c>
      <c r="K385" t="s">
        <v>17</v>
      </c>
      <c r="L385" s="3">
        <v>37</v>
      </c>
      <c r="M385" s="3" t="str" cm="1">
        <f t="array" ref="M385">_xlfn.IFS(
L385&gt;=65,"Retirement Age",
AND(L385&lt;65,L385&gt;=40),"Middle Aged",
AND(L385&lt;40,L385&gt;=30),"In the 30s",
L385&lt;30,"Below 30")</f>
        <v>In the 30s</v>
      </c>
      <c r="N385" t="s">
        <v>15</v>
      </c>
    </row>
    <row r="386" spans="1:14" x14ac:dyDescent="0.25">
      <c r="A386">
        <v>12581</v>
      </c>
      <c r="B386" t="s">
        <v>37</v>
      </c>
      <c r="C386" t="s">
        <v>39</v>
      </c>
      <c r="D386" s="1">
        <v>10000</v>
      </c>
      <c r="E386" s="3">
        <v>0</v>
      </c>
      <c r="F386" t="s">
        <v>19</v>
      </c>
      <c r="G386" t="s">
        <v>25</v>
      </c>
      <c r="H386" t="s">
        <v>18</v>
      </c>
      <c r="I386" s="3">
        <v>1</v>
      </c>
      <c r="J386" t="s">
        <v>16</v>
      </c>
      <c r="K386" t="s">
        <v>24</v>
      </c>
      <c r="L386" s="3">
        <v>28</v>
      </c>
      <c r="M386" s="3" t="str" cm="1">
        <f t="array" ref="M386">_xlfn.IFS(
L386&gt;=65,"Retirement Age",
AND(L386&lt;65,L386&gt;=40),"Middle Aged",
AND(L386&lt;40,L386&gt;=30),"In the 30s",
L386&lt;30,"Below 30")</f>
        <v>Below 30</v>
      </c>
      <c r="N386" t="s">
        <v>15</v>
      </c>
    </row>
    <row r="387" spans="1:14" x14ac:dyDescent="0.25">
      <c r="A387">
        <v>18018</v>
      </c>
      <c r="B387" t="s">
        <v>37</v>
      </c>
      <c r="C387" t="s">
        <v>38</v>
      </c>
      <c r="D387" s="1">
        <v>30000</v>
      </c>
      <c r="E387" s="3">
        <v>3</v>
      </c>
      <c r="F387" t="s">
        <v>19</v>
      </c>
      <c r="G387" t="s">
        <v>20</v>
      </c>
      <c r="H387" t="s">
        <v>15</v>
      </c>
      <c r="I387" s="3">
        <v>0</v>
      </c>
      <c r="J387" t="s">
        <v>16</v>
      </c>
      <c r="K387" t="s">
        <v>17</v>
      </c>
      <c r="L387" s="3">
        <v>43</v>
      </c>
      <c r="M387" s="3" t="str" cm="1">
        <f t="array" ref="M387">_xlfn.IFS(
L387&gt;=65,"Retirement Age",
AND(L387&lt;65,L387&gt;=40),"Middle Aged",
AND(L387&lt;40,L387&gt;=30),"In the 30s",
L387&lt;30,"Below 30")</f>
        <v>Middle Aged</v>
      </c>
      <c r="N387" t="s">
        <v>18</v>
      </c>
    </row>
    <row r="388" spans="1:14" x14ac:dyDescent="0.25">
      <c r="A388">
        <v>28957</v>
      </c>
      <c r="B388" t="s">
        <v>37</v>
      </c>
      <c r="C388" t="s">
        <v>39</v>
      </c>
      <c r="D388" s="1">
        <v>120000</v>
      </c>
      <c r="E388" s="3">
        <v>0</v>
      </c>
      <c r="F388" t="s">
        <v>29</v>
      </c>
      <c r="G388" t="s">
        <v>21</v>
      </c>
      <c r="H388" t="s">
        <v>15</v>
      </c>
      <c r="I388" s="3">
        <v>4</v>
      </c>
      <c r="J388" t="s">
        <v>45</v>
      </c>
      <c r="K388" t="s">
        <v>24</v>
      </c>
      <c r="L388" s="3">
        <v>34</v>
      </c>
      <c r="M388" s="3" t="str" cm="1">
        <f t="array" ref="M388">_xlfn.IFS(
L388&gt;=65,"Retirement Age",
AND(L388&lt;65,L388&gt;=40),"Middle Aged",
AND(L388&lt;40,L388&gt;=30),"In the 30s",
L388&lt;30,"Below 30")</f>
        <v>In the 30s</v>
      </c>
      <c r="N388" t="s">
        <v>15</v>
      </c>
    </row>
    <row r="389" spans="1:14" x14ac:dyDescent="0.25">
      <c r="A389">
        <v>13690</v>
      </c>
      <c r="B389" t="s">
        <v>37</v>
      </c>
      <c r="C389" t="s">
        <v>39</v>
      </c>
      <c r="D389" s="1">
        <v>20000</v>
      </c>
      <c r="E389" s="3">
        <v>0</v>
      </c>
      <c r="F389" t="s">
        <v>29</v>
      </c>
      <c r="G389" t="s">
        <v>25</v>
      </c>
      <c r="H389" t="s">
        <v>18</v>
      </c>
      <c r="I389" s="3">
        <v>2</v>
      </c>
      <c r="J389" t="s">
        <v>26</v>
      </c>
      <c r="K389" t="s">
        <v>17</v>
      </c>
      <c r="L389" s="3">
        <v>34</v>
      </c>
      <c r="M389" s="3" t="str" cm="1">
        <f t="array" ref="M389">_xlfn.IFS(
L389&gt;=65,"Retirement Age",
AND(L389&lt;65,L389&gt;=40),"Middle Aged",
AND(L389&lt;40,L389&gt;=30),"In the 30s",
L389&lt;30,"Below 30")</f>
        <v>In the 30s</v>
      </c>
      <c r="N389" t="s">
        <v>15</v>
      </c>
    </row>
    <row r="390" spans="1:14" x14ac:dyDescent="0.25">
      <c r="A390">
        <v>12568</v>
      </c>
      <c r="B390" t="s">
        <v>36</v>
      </c>
      <c r="C390" t="s">
        <v>39</v>
      </c>
      <c r="D390" s="1">
        <v>30000</v>
      </c>
      <c r="E390" s="3">
        <v>1</v>
      </c>
      <c r="F390" t="s">
        <v>13</v>
      </c>
      <c r="G390" t="s">
        <v>20</v>
      </c>
      <c r="H390" t="s">
        <v>15</v>
      </c>
      <c r="I390" s="3">
        <v>0</v>
      </c>
      <c r="J390" t="s">
        <v>16</v>
      </c>
      <c r="K390" t="s">
        <v>17</v>
      </c>
      <c r="L390" s="3">
        <v>64</v>
      </c>
      <c r="M390" s="3" t="str" cm="1">
        <f t="array" ref="M390">_xlfn.IFS(
L390&gt;=65,"Retirement Age",
AND(L390&lt;65,L390&gt;=40),"Middle Aged",
AND(L390&lt;40,L390&gt;=30),"In the 30s",
L390&lt;30,"Below 30")</f>
        <v>Middle Aged</v>
      </c>
      <c r="N390" t="s">
        <v>18</v>
      </c>
    </row>
    <row r="391" spans="1:14" x14ac:dyDescent="0.25">
      <c r="A391">
        <v>13122</v>
      </c>
      <c r="B391" t="s">
        <v>36</v>
      </c>
      <c r="C391" t="s">
        <v>39</v>
      </c>
      <c r="D391" s="1">
        <v>80000</v>
      </c>
      <c r="E391" s="3">
        <v>0</v>
      </c>
      <c r="F391" t="s">
        <v>13</v>
      </c>
      <c r="G391" t="s">
        <v>21</v>
      </c>
      <c r="H391" t="s">
        <v>15</v>
      </c>
      <c r="I391" s="3">
        <v>1</v>
      </c>
      <c r="J391" t="s">
        <v>26</v>
      </c>
      <c r="K391" t="s">
        <v>24</v>
      </c>
      <c r="L391" s="3">
        <v>41</v>
      </c>
      <c r="M391" s="3" t="str" cm="1">
        <f t="array" ref="M391">_xlfn.IFS(
L391&gt;=65,"Retirement Age",
AND(L391&lt;65,L391&gt;=40),"Middle Aged",
AND(L391&lt;40,L391&gt;=30),"In the 30s",
L391&lt;30,"Below 30")</f>
        <v>Middle Aged</v>
      </c>
      <c r="N391" t="s">
        <v>15</v>
      </c>
    </row>
    <row r="392" spans="1:14" x14ac:dyDescent="0.25">
      <c r="A392">
        <v>21184</v>
      </c>
      <c r="B392" t="s">
        <v>37</v>
      </c>
      <c r="C392" t="s">
        <v>38</v>
      </c>
      <c r="D392" s="1">
        <v>70000</v>
      </c>
      <c r="E392" s="3">
        <v>0</v>
      </c>
      <c r="F392" t="s">
        <v>13</v>
      </c>
      <c r="G392" t="s">
        <v>21</v>
      </c>
      <c r="H392" t="s">
        <v>18</v>
      </c>
      <c r="I392" s="3">
        <v>1</v>
      </c>
      <c r="J392" t="s">
        <v>23</v>
      </c>
      <c r="K392" t="s">
        <v>24</v>
      </c>
      <c r="L392" s="3">
        <v>38</v>
      </c>
      <c r="M392" s="3" t="str" cm="1">
        <f t="array" ref="M392">_xlfn.IFS(
L392&gt;=65,"Retirement Age",
AND(L392&lt;65,L392&gt;=40),"Middle Aged",
AND(L392&lt;40,L392&gt;=30),"In the 30s",
L392&lt;30,"Below 30")</f>
        <v>In the 30s</v>
      </c>
      <c r="N392" t="s">
        <v>18</v>
      </c>
    </row>
    <row r="393" spans="1:14" x14ac:dyDescent="0.25">
      <c r="A393">
        <v>26150</v>
      </c>
      <c r="B393" t="s">
        <v>37</v>
      </c>
      <c r="C393" t="s">
        <v>39</v>
      </c>
      <c r="D393" s="1">
        <v>70000</v>
      </c>
      <c r="E393" s="3">
        <v>0</v>
      </c>
      <c r="F393" t="s">
        <v>13</v>
      </c>
      <c r="G393" t="s">
        <v>21</v>
      </c>
      <c r="H393" t="s">
        <v>18</v>
      </c>
      <c r="I393" s="3">
        <v>1</v>
      </c>
      <c r="J393" t="s">
        <v>16</v>
      </c>
      <c r="K393" t="s">
        <v>24</v>
      </c>
      <c r="L393" s="3">
        <v>41</v>
      </c>
      <c r="M393" s="3" t="str" cm="1">
        <f t="array" ref="M393">_xlfn.IFS(
L393&gt;=65,"Retirement Age",
AND(L393&lt;65,L393&gt;=40),"Middle Aged",
AND(L393&lt;40,L393&gt;=30),"In the 30s",
L393&lt;30,"Below 30")</f>
        <v>Middle Aged</v>
      </c>
      <c r="N393" t="s">
        <v>15</v>
      </c>
    </row>
    <row r="394" spans="1:14" x14ac:dyDescent="0.25">
      <c r="A394">
        <v>24151</v>
      </c>
      <c r="B394" t="s">
        <v>37</v>
      </c>
      <c r="C394" t="s">
        <v>38</v>
      </c>
      <c r="D394" s="1">
        <v>20000</v>
      </c>
      <c r="E394" s="3">
        <v>1</v>
      </c>
      <c r="F394" t="s">
        <v>13</v>
      </c>
      <c r="G394" t="s">
        <v>20</v>
      </c>
      <c r="H394" t="s">
        <v>18</v>
      </c>
      <c r="I394" s="3">
        <v>0</v>
      </c>
      <c r="J394" t="s">
        <v>16</v>
      </c>
      <c r="K394" t="s">
        <v>17</v>
      </c>
      <c r="L394" s="3">
        <v>51</v>
      </c>
      <c r="M394" s="3" t="str" cm="1">
        <f t="array" ref="M394">_xlfn.IFS(
L394&gt;=65,"Retirement Age",
AND(L394&lt;65,L394&gt;=40),"Middle Aged",
AND(L394&lt;40,L394&gt;=30),"In the 30s",
L394&lt;30,"Below 30")</f>
        <v>Middle Aged</v>
      </c>
      <c r="N394" t="s">
        <v>18</v>
      </c>
    </row>
    <row r="395" spans="1:14" x14ac:dyDescent="0.25">
      <c r="A395">
        <v>23962</v>
      </c>
      <c r="B395" t="s">
        <v>36</v>
      </c>
      <c r="C395" t="s">
        <v>39</v>
      </c>
      <c r="D395" s="1">
        <v>10000</v>
      </c>
      <c r="E395" s="3">
        <v>0</v>
      </c>
      <c r="F395" t="s">
        <v>29</v>
      </c>
      <c r="G395" t="s">
        <v>25</v>
      </c>
      <c r="H395" t="s">
        <v>15</v>
      </c>
      <c r="I395" s="3">
        <v>2</v>
      </c>
      <c r="J395" t="s">
        <v>26</v>
      </c>
      <c r="K395" t="s">
        <v>17</v>
      </c>
      <c r="L395" s="3">
        <v>32</v>
      </c>
      <c r="M395" s="3" t="str" cm="1">
        <f t="array" ref="M395">_xlfn.IFS(
L395&gt;=65,"Retirement Age",
AND(L395&lt;65,L395&gt;=40),"Middle Aged",
AND(L395&lt;40,L395&gt;=30),"In the 30s",
L395&lt;30,"Below 30")</f>
        <v>In the 30s</v>
      </c>
      <c r="N395" t="s">
        <v>18</v>
      </c>
    </row>
    <row r="396" spans="1:14" x14ac:dyDescent="0.25">
      <c r="A396">
        <v>17793</v>
      </c>
      <c r="B396" t="s">
        <v>36</v>
      </c>
      <c r="C396" t="s">
        <v>39</v>
      </c>
      <c r="D396" s="1">
        <v>40000</v>
      </c>
      <c r="E396" s="3">
        <v>0</v>
      </c>
      <c r="F396" t="s">
        <v>13</v>
      </c>
      <c r="G396" t="s">
        <v>20</v>
      </c>
      <c r="H396" t="s">
        <v>15</v>
      </c>
      <c r="I396" s="3">
        <v>0</v>
      </c>
      <c r="J396" t="s">
        <v>16</v>
      </c>
      <c r="K396" t="s">
        <v>17</v>
      </c>
      <c r="L396" s="3">
        <v>38</v>
      </c>
      <c r="M396" s="3" t="str" cm="1">
        <f t="array" ref="M396">_xlfn.IFS(
L396&gt;=65,"Retirement Age",
AND(L396&lt;65,L396&gt;=40),"Middle Aged",
AND(L396&lt;40,L396&gt;=30),"In the 30s",
L396&lt;30,"Below 30")</f>
        <v>In the 30s</v>
      </c>
      <c r="N396" t="s">
        <v>15</v>
      </c>
    </row>
    <row r="397" spans="1:14" x14ac:dyDescent="0.25">
      <c r="A397">
        <v>14926</v>
      </c>
      <c r="B397" t="s">
        <v>36</v>
      </c>
      <c r="C397" t="s">
        <v>38</v>
      </c>
      <c r="D397" s="1">
        <v>30000</v>
      </c>
      <c r="E397" s="3">
        <v>1</v>
      </c>
      <c r="F397" t="s">
        <v>13</v>
      </c>
      <c r="G397" t="s">
        <v>20</v>
      </c>
      <c r="H397" t="s">
        <v>15</v>
      </c>
      <c r="I397" s="3">
        <v>0</v>
      </c>
      <c r="J397" t="s">
        <v>16</v>
      </c>
      <c r="K397" t="s">
        <v>17</v>
      </c>
      <c r="L397" s="3">
        <v>38</v>
      </c>
      <c r="M397" s="3" t="str" cm="1">
        <f t="array" ref="M397">_xlfn.IFS(
L397&gt;=65,"Retirement Age",
AND(L397&lt;65,L397&gt;=40),"Middle Aged",
AND(L397&lt;40,L397&gt;=30),"In the 30s",
L397&lt;30,"Below 30")</f>
        <v>In the 30s</v>
      </c>
      <c r="N397" t="s">
        <v>15</v>
      </c>
    </row>
    <row r="398" spans="1:14" x14ac:dyDescent="0.25">
      <c r="A398">
        <v>16163</v>
      </c>
      <c r="B398" t="s">
        <v>37</v>
      </c>
      <c r="C398" t="s">
        <v>38</v>
      </c>
      <c r="D398" s="1">
        <v>60000</v>
      </c>
      <c r="E398" s="3">
        <v>2</v>
      </c>
      <c r="F398" t="s">
        <v>13</v>
      </c>
      <c r="G398" t="s">
        <v>21</v>
      </c>
      <c r="H398" t="s">
        <v>15</v>
      </c>
      <c r="I398" s="3">
        <v>1</v>
      </c>
      <c r="J398" t="s">
        <v>22</v>
      </c>
      <c r="K398" t="s">
        <v>24</v>
      </c>
      <c r="L398" s="3">
        <v>38</v>
      </c>
      <c r="M398" s="3" t="str" cm="1">
        <f t="array" ref="M398">_xlfn.IFS(
L398&gt;=65,"Retirement Age",
AND(L398&lt;65,L398&gt;=40),"Middle Aged",
AND(L398&lt;40,L398&gt;=30),"In the 30s",
L398&lt;30,"Below 30")</f>
        <v>In the 30s</v>
      </c>
      <c r="N398" t="s">
        <v>15</v>
      </c>
    </row>
    <row r="399" spans="1:14" x14ac:dyDescent="0.25">
      <c r="A399">
        <v>21365</v>
      </c>
      <c r="B399" t="s">
        <v>36</v>
      </c>
      <c r="C399" t="s">
        <v>39</v>
      </c>
      <c r="D399" s="1">
        <v>10000</v>
      </c>
      <c r="E399" s="3">
        <v>2</v>
      </c>
      <c r="F399" t="s">
        <v>29</v>
      </c>
      <c r="G399" t="s">
        <v>20</v>
      </c>
      <c r="H399" t="s">
        <v>15</v>
      </c>
      <c r="I399" s="3">
        <v>2</v>
      </c>
      <c r="J399" t="s">
        <v>23</v>
      </c>
      <c r="K399" t="s">
        <v>24</v>
      </c>
      <c r="L399" s="3">
        <v>58</v>
      </c>
      <c r="M399" s="3" t="str" cm="1">
        <f t="array" ref="M399">_xlfn.IFS(
L399&gt;=65,"Retirement Age",
AND(L399&lt;65,L399&gt;=40),"Middle Aged",
AND(L399&lt;40,L399&gt;=30),"In the 30s",
L399&lt;30,"Below 30")</f>
        <v>Middle Aged</v>
      </c>
      <c r="N399" t="s">
        <v>18</v>
      </c>
    </row>
    <row r="400" spans="1:14" x14ac:dyDescent="0.25">
      <c r="A400">
        <v>27771</v>
      </c>
      <c r="B400" t="s">
        <v>37</v>
      </c>
      <c r="C400" t="s">
        <v>38</v>
      </c>
      <c r="D400" s="1">
        <v>30000</v>
      </c>
      <c r="E400" s="3">
        <v>1</v>
      </c>
      <c r="F400" t="s">
        <v>13</v>
      </c>
      <c r="G400" t="s">
        <v>20</v>
      </c>
      <c r="H400" t="s">
        <v>15</v>
      </c>
      <c r="I400" s="3">
        <v>1</v>
      </c>
      <c r="J400" t="s">
        <v>26</v>
      </c>
      <c r="K400" t="s">
        <v>17</v>
      </c>
      <c r="L400" s="3">
        <v>39</v>
      </c>
      <c r="M400" s="3" t="str" cm="1">
        <f t="array" ref="M400">_xlfn.IFS(
L400&gt;=65,"Retirement Age",
AND(L400&lt;65,L400&gt;=40),"Middle Aged",
AND(L400&lt;40,L400&gt;=30),"In the 30s",
L400&lt;30,"Below 30")</f>
        <v>In the 30s</v>
      </c>
      <c r="N400" t="s">
        <v>15</v>
      </c>
    </row>
    <row r="401" spans="1:14" x14ac:dyDescent="0.25">
      <c r="A401">
        <v>26167</v>
      </c>
      <c r="B401" t="s">
        <v>37</v>
      </c>
      <c r="C401" t="s">
        <v>39</v>
      </c>
      <c r="D401" s="1">
        <v>40000</v>
      </c>
      <c r="E401" s="3">
        <v>2</v>
      </c>
      <c r="F401" t="s">
        <v>13</v>
      </c>
      <c r="G401" t="s">
        <v>28</v>
      </c>
      <c r="H401" t="s">
        <v>18</v>
      </c>
      <c r="I401" s="3">
        <v>1</v>
      </c>
      <c r="J401" t="s">
        <v>23</v>
      </c>
      <c r="K401" t="s">
        <v>24</v>
      </c>
      <c r="L401" s="3">
        <v>53</v>
      </c>
      <c r="M401" s="3" t="str" cm="1">
        <f t="array" ref="M401">_xlfn.IFS(
L401&gt;=65,"Retirement Age",
AND(L401&lt;65,L401&gt;=40),"Middle Aged",
AND(L401&lt;40,L401&gt;=30),"In the 30s",
L401&lt;30,"Below 30")</f>
        <v>Middle Aged</v>
      </c>
      <c r="N401" t="s">
        <v>15</v>
      </c>
    </row>
    <row r="402" spans="1:14" x14ac:dyDescent="0.25">
      <c r="A402">
        <v>25792</v>
      </c>
      <c r="B402" t="s">
        <v>37</v>
      </c>
      <c r="C402" t="s">
        <v>39</v>
      </c>
      <c r="D402" s="1">
        <v>110000</v>
      </c>
      <c r="E402" s="3">
        <v>3</v>
      </c>
      <c r="F402" t="s">
        <v>13</v>
      </c>
      <c r="G402" t="s">
        <v>28</v>
      </c>
      <c r="H402" t="s">
        <v>15</v>
      </c>
      <c r="I402" s="3">
        <v>4</v>
      </c>
      <c r="J402" t="s">
        <v>45</v>
      </c>
      <c r="K402" t="s">
        <v>17</v>
      </c>
      <c r="L402" s="3">
        <v>53</v>
      </c>
      <c r="M402" s="3" t="str" cm="1">
        <f t="array" ref="M402">_xlfn.IFS(
L402&gt;=65,"Retirement Age",
AND(L402&lt;65,L402&gt;=40),"Middle Aged",
AND(L402&lt;40,L402&gt;=30),"In the 30s",
L402&lt;30,"Below 30")</f>
        <v>Middle Aged</v>
      </c>
      <c r="N402" t="s">
        <v>18</v>
      </c>
    </row>
    <row r="403" spans="1:14" x14ac:dyDescent="0.25">
      <c r="A403">
        <v>11555</v>
      </c>
      <c r="B403" t="s">
        <v>36</v>
      </c>
      <c r="C403" t="s">
        <v>39</v>
      </c>
      <c r="D403" s="1">
        <v>40000</v>
      </c>
      <c r="E403" s="3">
        <v>1</v>
      </c>
      <c r="F403" t="s">
        <v>13</v>
      </c>
      <c r="G403" t="s">
        <v>20</v>
      </c>
      <c r="H403" t="s">
        <v>15</v>
      </c>
      <c r="I403" s="3">
        <v>0</v>
      </c>
      <c r="J403" t="s">
        <v>16</v>
      </c>
      <c r="K403" t="s">
        <v>17</v>
      </c>
      <c r="L403" s="3">
        <v>80</v>
      </c>
      <c r="M403" s="3" t="str" cm="1">
        <f t="array" ref="M403">_xlfn.IFS(
L403&gt;=65,"Retirement Age",
AND(L403&lt;65,L403&gt;=40),"Middle Aged",
AND(L403&lt;40,L403&gt;=30),"In the 30s",
L403&lt;30,"Below 30")</f>
        <v>Retirement Age</v>
      </c>
      <c r="N403" t="s">
        <v>18</v>
      </c>
    </row>
    <row r="404" spans="1:14" x14ac:dyDescent="0.25">
      <c r="A404">
        <v>22381</v>
      </c>
      <c r="B404" t="s">
        <v>36</v>
      </c>
      <c r="C404" t="s">
        <v>38</v>
      </c>
      <c r="D404" s="1">
        <v>10000</v>
      </c>
      <c r="E404" s="3">
        <v>1</v>
      </c>
      <c r="F404" t="s">
        <v>31</v>
      </c>
      <c r="G404" t="s">
        <v>25</v>
      </c>
      <c r="H404" t="s">
        <v>15</v>
      </c>
      <c r="I404" s="3">
        <v>0</v>
      </c>
      <c r="J404" t="s">
        <v>16</v>
      </c>
      <c r="K404" t="s">
        <v>17</v>
      </c>
      <c r="L404" s="3">
        <v>44</v>
      </c>
      <c r="M404" s="3" t="str" cm="1">
        <f t="array" ref="M404">_xlfn.IFS(
L404&gt;=65,"Retirement Age",
AND(L404&lt;65,L404&gt;=40),"Middle Aged",
AND(L404&lt;40,L404&gt;=30),"In the 30s",
L404&lt;30,"Below 30")</f>
        <v>Middle Aged</v>
      </c>
      <c r="N404" t="s">
        <v>18</v>
      </c>
    </row>
    <row r="405" spans="1:14" x14ac:dyDescent="0.25">
      <c r="A405">
        <v>17882</v>
      </c>
      <c r="B405" t="s">
        <v>36</v>
      </c>
      <c r="C405" t="s">
        <v>38</v>
      </c>
      <c r="D405" s="1">
        <v>20000</v>
      </c>
      <c r="E405" s="3">
        <v>1</v>
      </c>
      <c r="F405" t="s">
        <v>31</v>
      </c>
      <c r="G405" t="s">
        <v>20</v>
      </c>
      <c r="H405" t="s">
        <v>15</v>
      </c>
      <c r="I405" s="3">
        <v>0</v>
      </c>
      <c r="J405" t="s">
        <v>16</v>
      </c>
      <c r="K405" t="s">
        <v>17</v>
      </c>
      <c r="L405" s="3">
        <v>44</v>
      </c>
      <c r="M405" s="3" t="str" cm="1">
        <f t="array" ref="M405">_xlfn.IFS(
L405&gt;=65,"Retirement Age",
AND(L405&lt;65,L405&gt;=40),"Middle Aged",
AND(L405&lt;40,L405&gt;=30),"In the 30s",
L405&lt;30,"Below 30")</f>
        <v>Middle Aged</v>
      </c>
      <c r="N405" t="s">
        <v>18</v>
      </c>
    </row>
    <row r="406" spans="1:14" x14ac:dyDescent="0.25">
      <c r="A406">
        <v>22174</v>
      </c>
      <c r="B406" t="s">
        <v>36</v>
      </c>
      <c r="C406" t="s">
        <v>38</v>
      </c>
      <c r="D406" s="1">
        <v>30000</v>
      </c>
      <c r="E406" s="3">
        <v>3</v>
      </c>
      <c r="F406" t="s">
        <v>27</v>
      </c>
      <c r="G406" t="s">
        <v>14</v>
      </c>
      <c r="H406" t="s">
        <v>15</v>
      </c>
      <c r="I406" s="3">
        <v>2</v>
      </c>
      <c r="J406" t="s">
        <v>23</v>
      </c>
      <c r="K406" t="s">
        <v>24</v>
      </c>
      <c r="L406" s="3">
        <v>54</v>
      </c>
      <c r="M406" s="3" t="str" cm="1">
        <f t="array" ref="M406">_xlfn.IFS(
L406&gt;=65,"Retirement Age",
AND(L406&lt;65,L406&gt;=40),"Middle Aged",
AND(L406&lt;40,L406&gt;=30),"In the 30s",
L406&lt;30,"Below 30")</f>
        <v>Middle Aged</v>
      </c>
      <c r="N406" t="s">
        <v>15</v>
      </c>
    </row>
    <row r="407" spans="1:14" x14ac:dyDescent="0.25">
      <c r="A407">
        <v>22439</v>
      </c>
      <c r="B407" t="s">
        <v>36</v>
      </c>
      <c r="C407" t="s">
        <v>39</v>
      </c>
      <c r="D407" s="1">
        <v>30000</v>
      </c>
      <c r="E407" s="3">
        <v>0</v>
      </c>
      <c r="F407" t="s">
        <v>13</v>
      </c>
      <c r="G407" t="s">
        <v>20</v>
      </c>
      <c r="H407" t="s">
        <v>15</v>
      </c>
      <c r="I407" s="3">
        <v>0</v>
      </c>
      <c r="J407" t="s">
        <v>16</v>
      </c>
      <c r="K407" t="s">
        <v>17</v>
      </c>
      <c r="L407" s="3">
        <v>37</v>
      </c>
      <c r="M407" s="3" t="str" cm="1">
        <f t="array" ref="M407">_xlfn.IFS(
L407&gt;=65,"Retirement Age",
AND(L407&lt;65,L407&gt;=40),"Middle Aged",
AND(L407&lt;40,L407&gt;=30),"In the 30s",
L407&lt;30,"Below 30")</f>
        <v>In the 30s</v>
      </c>
      <c r="N407" t="s">
        <v>15</v>
      </c>
    </row>
    <row r="408" spans="1:14" x14ac:dyDescent="0.25">
      <c r="A408">
        <v>18012</v>
      </c>
      <c r="B408" t="s">
        <v>36</v>
      </c>
      <c r="C408" t="s">
        <v>39</v>
      </c>
      <c r="D408" s="1">
        <v>40000</v>
      </c>
      <c r="E408" s="3">
        <v>1</v>
      </c>
      <c r="F408" t="s">
        <v>13</v>
      </c>
      <c r="G408" t="s">
        <v>14</v>
      </c>
      <c r="H408" t="s">
        <v>15</v>
      </c>
      <c r="I408" s="3">
        <v>0</v>
      </c>
      <c r="J408" t="s">
        <v>16</v>
      </c>
      <c r="K408" t="s">
        <v>17</v>
      </c>
      <c r="L408" s="3">
        <v>41</v>
      </c>
      <c r="M408" s="3" t="str" cm="1">
        <f t="array" ref="M408">_xlfn.IFS(
L408&gt;=65,"Retirement Age",
AND(L408&lt;65,L408&gt;=40),"Middle Aged",
AND(L408&lt;40,L408&gt;=30),"In the 30s",
L408&lt;30,"Below 30")</f>
        <v>Middle Aged</v>
      </c>
      <c r="N408" t="s">
        <v>18</v>
      </c>
    </row>
    <row r="409" spans="1:14" x14ac:dyDescent="0.25">
      <c r="A409">
        <v>27582</v>
      </c>
      <c r="B409" t="s">
        <v>37</v>
      </c>
      <c r="C409" t="s">
        <v>39</v>
      </c>
      <c r="D409" s="1">
        <v>90000</v>
      </c>
      <c r="E409" s="3">
        <v>2</v>
      </c>
      <c r="F409" t="s">
        <v>13</v>
      </c>
      <c r="G409" t="s">
        <v>21</v>
      </c>
      <c r="H409" t="s">
        <v>18</v>
      </c>
      <c r="I409" s="3">
        <v>0</v>
      </c>
      <c r="J409" t="s">
        <v>16</v>
      </c>
      <c r="K409" t="s">
        <v>24</v>
      </c>
      <c r="L409" s="3">
        <v>36</v>
      </c>
      <c r="M409" s="3" t="str" cm="1">
        <f t="array" ref="M409">_xlfn.IFS(
L409&gt;=65,"Retirement Age",
AND(L409&lt;65,L409&gt;=40),"Middle Aged",
AND(L409&lt;40,L409&gt;=30),"In the 30s",
L409&lt;30,"Below 30")</f>
        <v>In the 30s</v>
      </c>
      <c r="N409" t="s">
        <v>15</v>
      </c>
    </row>
    <row r="410" spans="1:14" x14ac:dyDescent="0.25">
      <c r="A410">
        <v>12744</v>
      </c>
      <c r="B410" t="s">
        <v>37</v>
      </c>
      <c r="C410" t="s">
        <v>39</v>
      </c>
      <c r="D410" s="1">
        <v>40000</v>
      </c>
      <c r="E410" s="3">
        <v>2</v>
      </c>
      <c r="F410" t="s">
        <v>19</v>
      </c>
      <c r="G410" t="s">
        <v>20</v>
      </c>
      <c r="H410" t="s">
        <v>15</v>
      </c>
      <c r="I410" s="3">
        <v>0</v>
      </c>
      <c r="J410" t="s">
        <v>16</v>
      </c>
      <c r="K410" t="s">
        <v>17</v>
      </c>
      <c r="L410" s="3">
        <v>33</v>
      </c>
      <c r="M410" s="3" t="str" cm="1">
        <f t="array" ref="M410">_xlfn.IFS(
L410&gt;=65,"Retirement Age",
AND(L410&lt;65,L410&gt;=40),"Middle Aged",
AND(L410&lt;40,L410&gt;=30),"In the 30s",
L410&lt;30,"Below 30")</f>
        <v>In the 30s</v>
      </c>
      <c r="N410" t="s">
        <v>18</v>
      </c>
    </row>
    <row r="411" spans="1:14" x14ac:dyDescent="0.25">
      <c r="A411">
        <v>22821</v>
      </c>
      <c r="B411" t="s">
        <v>36</v>
      </c>
      <c r="C411" t="s">
        <v>39</v>
      </c>
      <c r="D411" s="1">
        <v>130000</v>
      </c>
      <c r="E411" s="3">
        <v>3</v>
      </c>
      <c r="F411" t="s">
        <v>19</v>
      </c>
      <c r="G411" t="s">
        <v>21</v>
      </c>
      <c r="H411" t="s">
        <v>15</v>
      </c>
      <c r="I411" s="3">
        <v>4</v>
      </c>
      <c r="J411" t="s">
        <v>16</v>
      </c>
      <c r="K411" t="s">
        <v>17</v>
      </c>
      <c r="L411" s="3">
        <v>52</v>
      </c>
      <c r="M411" s="3" t="str" cm="1">
        <f t="array" ref="M411">_xlfn.IFS(
L411&gt;=65,"Retirement Age",
AND(L411&lt;65,L411&gt;=40),"Middle Aged",
AND(L411&lt;40,L411&gt;=30),"In the 30s",
L411&lt;30,"Below 30")</f>
        <v>Middle Aged</v>
      </c>
      <c r="N411" t="s">
        <v>18</v>
      </c>
    </row>
    <row r="412" spans="1:14" x14ac:dyDescent="0.25">
      <c r="A412">
        <v>20171</v>
      </c>
      <c r="B412" t="s">
        <v>36</v>
      </c>
      <c r="C412" t="s">
        <v>39</v>
      </c>
      <c r="D412" s="1">
        <v>20000</v>
      </c>
      <c r="E412" s="3">
        <v>2</v>
      </c>
      <c r="F412" t="s">
        <v>19</v>
      </c>
      <c r="G412" t="s">
        <v>25</v>
      </c>
      <c r="H412" t="s">
        <v>15</v>
      </c>
      <c r="I412" s="3">
        <v>1</v>
      </c>
      <c r="J412" t="s">
        <v>16</v>
      </c>
      <c r="K412" t="s">
        <v>17</v>
      </c>
      <c r="L412" s="3">
        <v>46</v>
      </c>
      <c r="M412" s="3" t="str" cm="1">
        <f t="array" ref="M412">_xlfn.IFS(
L412&gt;=65,"Retirement Age",
AND(L412&lt;65,L412&gt;=40),"Middle Aged",
AND(L412&lt;40,L412&gt;=30),"In the 30s",
L412&lt;30,"Below 30")</f>
        <v>Middle Aged</v>
      </c>
      <c r="N412" t="s">
        <v>15</v>
      </c>
    </row>
    <row r="413" spans="1:14" x14ac:dyDescent="0.25">
      <c r="A413">
        <v>11116</v>
      </c>
      <c r="B413" t="s">
        <v>36</v>
      </c>
      <c r="C413" t="s">
        <v>38</v>
      </c>
      <c r="D413" s="1">
        <v>70000</v>
      </c>
      <c r="E413" s="3">
        <v>5</v>
      </c>
      <c r="F413" t="s">
        <v>19</v>
      </c>
      <c r="G413" t="s">
        <v>14</v>
      </c>
      <c r="H413" t="s">
        <v>15</v>
      </c>
      <c r="I413" s="3">
        <v>2</v>
      </c>
      <c r="J413" t="s">
        <v>23</v>
      </c>
      <c r="K413" t="s">
        <v>24</v>
      </c>
      <c r="L413" s="3">
        <v>43</v>
      </c>
      <c r="M413" s="3" t="str" cm="1">
        <f t="array" ref="M413">_xlfn.IFS(
L413&gt;=65,"Retirement Age",
AND(L413&lt;65,L413&gt;=40),"Middle Aged",
AND(L413&lt;40,L413&gt;=30),"In the 30s",
L413&lt;30,"Below 30")</f>
        <v>Middle Aged</v>
      </c>
      <c r="N413" t="s">
        <v>18</v>
      </c>
    </row>
    <row r="414" spans="1:14" x14ac:dyDescent="0.25">
      <c r="A414">
        <v>20053</v>
      </c>
      <c r="B414" t="s">
        <v>37</v>
      </c>
      <c r="C414" t="s">
        <v>38</v>
      </c>
      <c r="D414" s="1">
        <v>40000</v>
      </c>
      <c r="E414" s="3">
        <v>2</v>
      </c>
      <c r="F414" t="s">
        <v>19</v>
      </c>
      <c r="G414" t="s">
        <v>20</v>
      </c>
      <c r="H414" t="s">
        <v>15</v>
      </c>
      <c r="I414" s="3">
        <v>0</v>
      </c>
      <c r="J414" t="s">
        <v>16</v>
      </c>
      <c r="K414" t="s">
        <v>17</v>
      </c>
      <c r="L414" s="3">
        <v>34</v>
      </c>
      <c r="M414" s="3" t="str" cm="1">
        <f t="array" ref="M414">_xlfn.IFS(
L414&gt;=65,"Retirement Age",
AND(L414&lt;65,L414&gt;=40),"Middle Aged",
AND(L414&lt;40,L414&gt;=30),"In the 30s",
L414&lt;30,"Below 30")</f>
        <v>In the 30s</v>
      </c>
      <c r="N414" t="s">
        <v>18</v>
      </c>
    </row>
    <row r="415" spans="1:14" x14ac:dyDescent="0.25">
      <c r="A415">
        <v>25266</v>
      </c>
      <c r="B415" t="s">
        <v>37</v>
      </c>
      <c r="C415" t="s">
        <v>39</v>
      </c>
      <c r="D415" s="1">
        <v>30000</v>
      </c>
      <c r="E415" s="3">
        <v>2</v>
      </c>
      <c r="F415" t="s">
        <v>19</v>
      </c>
      <c r="G415" t="s">
        <v>20</v>
      </c>
      <c r="H415" t="s">
        <v>18</v>
      </c>
      <c r="I415" s="3">
        <v>2</v>
      </c>
      <c r="J415" t="s">
        <v>23</v>
      </c>
      <c r="K415" t="s">
        <v>24</v>
      </c>
      <c r="L415" s="3">
        <v>67</v>
      </c>
      <c r="M415" s="3" t="str" cm="1">
        <f t="array" ref="M415">_xlfn.IFS(
L415&gt;=65,"Retirement Age",
AND(L415&lt;65,L415&gt;=40),"Middle Aged",
AND(L415&lt;40,L415&gt;=30),"In the 30s",
L415&lt;30,"Below 30")</f>
        <v>Retirement Age</v>
      </c>
      <c r="N415" t="s">
        <v>18</v>
      </c>
    </row>
    <row r="416" spans="1:14" x14ac:dyDescent="0.25">
      <c r="A416">
        <v>17960</v>
      </c>
      <c r="B416" t="s">
        <v>36</v>
      </c>
      <c r="C416" t="s">
        <v>39</v>
      </c>
      <c r="D416" s="1">
        <v>40000</v>
      </c>
      <c r="E416" s="3">
        <v>0</v>
      </c>
      <c r="F416" t="s">
        <v>31</v>
      </c>
      <c r="G416" t="s">
        <v>20</v>
      </c>
      <c r="H416" t="s">
        <v>15</v>
      </c>
      <c r="I416" s="3">
        <v>0</v>
      </c>
      <c r="J416" t="s">
        <v>16</v>
      </c>
      <c r="K416" t="s">
        <v>17</v>
      </c>
      <c r="L416" s="3">
        <v>35</v>
      </c>
      <c r="M416" s="3" t="str" cm="1">
        <f t="array" ref="M416">_xlfn.IFS(
L416&gt;=65,"Retirement Age",
AND(L416&lt;65,L416&gt;=40),"Middle Aged",
AND(L416&lt;40,L416&gt;=30),"In the 30s",
L416&lt;30,"Below 30")</f>
        <v>In the 30s</v>
      </c>
      <c r="N416" t="s">
        <v>15</v>
      </c>
    </row>
    <row r="417" spans="1:14" x14ac:dyDescent="0.25">
      <c r="A417">
        <v>13961</v>
      </c>
      <c r="B417" t="s">
        <v>36</v>
      </c>
      <c r="C417" t="s">
        <v>39</v>
      </c>
      <c r="D417" s="1">
        <v>80000</v>
      </c>
      <c r="E417" s="3">
        <v>5</v>
      </c>
      <c r="F417" t="s">
        <v>31</v>
      </c>
      <c r="G417" t="s">
        <v>28</v>
      </c>
      <c r="H417" t="s">
        <v>15</v>
      </c>
      <c r="I417" s="3">
        <v>3</v>
      </c>
      <c r="J417" t="s">
        <v>16</v>
      </c>
      <c r="K417" t="s">
        <v>24</v>
      </c>
      <c r="L417" s="3">
        <v>40</v>
      </c>
      <c r="M417" s="3" t="str" cm="1">
        <f t="array" ref="M417">_xlfn.IFS(
L417&gt;=65,"Retirement Age",
AND(L417&lt;65,L417&gt;=40),"Middle Aged",
AND(L417&lt;40,L417&gt;=30),"In the 30s",
L417&lt;30,"Below 30")</f>
        <v>Middle Aged</v>
      </c>
      <c r="N417" t="s">
        <v>18</v>
      </c>
    </row>
    <row r="418" spans="1:14" x14ac:dyDescent="0.25">
      <c r="A418">
        <v>11897</v>
      </c>
      <c r="B418" t="s">
        <v>37</v>
      </c>
      <c r="C418" t="s">
        <v>38</v>
      </c>
      <c r="D418" s="1">
        <v>60000</v>
      </c>
      <c r="E418" s="3">
        <v>2</v>
      </c>
      <c r="F418" t="s">
        <v>13</v>
      </c>
      <c r="G418" t="s">
        <v>21</v>
      </c>
      <c r="H418" t="s">
        <v>18</v>
      </c>
      <c r="I418" s="3">
        <v>1</v>
      </c>
      <c r="J418" t="s">
        <v>16</v>
      </c>
      <c r="K418" t="s">
        <v>24</v>
      </c>
      <c r="L418" s="3">
        <v>37</v>
      </c>
      <c r="M418" s="3" t="str" cm="1">
        <f t="array" ref="M418">_xlfn.IFS(
L418&gt;=65,"Retirement Age",
AND(L418&lt;65,L418&gt;=40),"Middle Aged",
AND(L418&lt;40,L418&gt;=30),"In the 30s",
L418&lt;30,"Below 30")</f>
        <v>In the 30s</v>
      </c>
      <c r="N418" t="s">
        <v>15</v>
      </c>
    </row>
    <row r="419" spans="1:14" x14ac:dyDescent="0.25">
      <c r="A419">
        <v>11139</v>
      </c>
      <c r="B419" t="s">
        <v>37</v>
      </c>
      <c r="C419" t="s">
        <v>39</v>
      </c>
      <c r="D419" s="1">
        <v>30000</v>
      </c>
      <c r="E419" s="3">
        <v>2</v>
      </c>
      <c r="F419" t="s">
        <v>19</v>
      </c>
      <c r="G419" t="s">
        <v>20</v>
      </c>
      <c r="H419" t="s">
        <v>18</v>
      </c>
      <c r="I419" s="3">
        <v>2</v>
      </c>
      <c r="J419" t="s">
        <v>23</v>
      </c>
      <c r="K419" t="s">
        <v>24</v>
      </c>
      <c r="L419" s="3">
        <v>67</v>
      </c>
      <c r="M419" s="3" t="str" cm="1">
        <f t="array" ref="M419">_xlfn.IFS(
L419&gt;=65,"Retirement Age",
AND(L419&lt;65,L419&gt;=40),"Middle Aged",
AND(L419&lt;40,L419&gt;=30),"In the 30s",
L419&lt;30,"Below 30")</f>
        <v>Retirement Age</v>
      </c>
      <c r="N419" t="s">
        <v>18</v>
      </c>
    </row>
    <row r="420" spans="1:14" x14ac:dyDescent="0.25">
      <c r="A420">
        <v>11576</v>
      </c>
      <c r="B420" t="s">
        <v>36</v>
      </c>
      <c r="C420" t="s">
        <v>38</v>
      </c>
      <c r="D420" s="1">
        <v>30000</v>
      </c>
      <c r="E420" s="3">
        <v>1</v>
      </c>
      <c r="F420" t="s">
        <v>13</v>
      </c>
      <c r="G420" t="s">
        <v>14</v>
      </c>
      <c r="H420" t="s">
        <v>15</v>
      </c>
      <c r="I420" s="3">
        <v>2</v>
      </c>
      <c r="J420" t="s">
        <v>16</v>
      </c>
      <c r="K420" t="s">
        <v>17</v>
      </c>
      <c r="L420" s="3">
        <v>41</v>
      </c>
      <c r="M420" s="3" t="str" cm="1">
        <f t="array" ref="M420">_xlfn.IFS(
L420&gt;=65,"Retirement Age",
AND(L420&lt;65,L420&gt;=40),"Middle Aged",
AND(L420&lt;40,L420&gt;=30),"In the 30s",
L420&lt;30,"Below 30")</f>
        <v>Middle Aged</v>
      </c>
      <c r="N420" t="s">
        <v>15</v>
      </c>
    </row>
    <row r="421" spans="1:14" x14ac:dyDescent="0.25">
      <c r="A421">
        <v>19255</v>
      </c>
      <c r="B421" t="s">
        <v>37</v>
      </c>
      <c r="C421" t="s">
        <v>38</v>
      </c>
      <c r="D421" s="1">
        <v>10000</v>
      </c>
      <c r="E421" s="3">
        <v>2</v>
      </c>
      <c r="F421" t="s">
        <v>19</v>
      </c>
      <c r="G421" t="s">
        <v>25</v>
      </c>
      <c r="H421" t="s">
        <v>15</v>
      </c>
      <c r="I421" s="3">
        <v>1</v>
      </c>
      <c r="J421" t="s">
        <v>16</v>
      </c>
      <c r="K421" t="s">
        <v>17</v>
      </c>
      <c r="L421" s="3">
        <v>51</v>
      </c>
      <c r="M421" s="3" t="str" cm="1">
        <f t="array" ref="M421">_xlfn.IFS(
L421&gt;=65,"Retirement Age",
AND(L421&lt;65,L421&gt;=40),"Middle Aged",
AND(L421&lt;40,L421&gt;=30),"In the 30s",
L421&lt;30,"Below 30")</f>
        <v>Middle Aged</v>
      </c>
      <c r="N421" t="s">
        <v>15</v>
      </c>
    </row>
    <row r="422" spans="1:14" x14ac:dyDescent="0.25">
      <c r="A422">
        <v>18153</v>
      </c>
      <c r="B422" t="s">
        <v>36</v>
      </c>
      <c r="C422" t="s">
        <v>39</v>
      </c>
      <c r="D422" s="1">
        <v>100000</v>
      </c>
      <c r="E422" s="3">
        <v>2</v>
      </c>
      <c r="F422" t="s">
        <v>13</v>
      </c>
      <c r="G422" t="s">
        <v>28</v>
      </c>
      <c r="H422" t="s">
        <v>15</v>
      </c>
      <c r="I422" s="3">
        <v>4</v>
      </c>
      <c r="J422" t="s">
        <v>45</v>
      </c>
      <c r="K422" t="s">
        <v>17</v>
      </c>
      <c r="L422" s="3">
        <v>59</v>
      </c>
      <c r="M422" s="3" t="str" cm="1">
        <f t="array" ref="M422">_xlfn.IFS(
L422&gt;=65,"Retirement Age",
AND(L422&lt;65,L422&gt;=40),"Middle Aged",
AND(L422&lt;40,L422&gt;=30),"In the 30s",
L422&lt;30,"Below 30")</f>
        <v>Middle Aged</v>
      </c>
      <c r="N422" t="s">
        <v>18</v>
      </c>
    </row>
    <row r="423" spans="1:14" x14ac:dyDescent="0.25">
      <c r="A423">
        <v>14547</v>
      </c>
      <c r="B423" t="s">
        <v>36</v>
      </c>
      <c r="C423" t="s">
        <v>38</v>
      </c>
      <c r="D423" s="1">
        <v>10000</v>
      </c>
      <c r="E423" s="3">
        <v>2</v>
      </c>
      <c r="F423" t="s">
        <v>19</v>
      </c>
      <c r="G423" t="s">
        <v>25</v>
      </c>
      <c r="H423" t="s">
        <v>15</v>
      </c>
      <c r="I423" s="3">
        <v>0</v>
      </c>
      <c r="J423" t="s">
        <v>26</v>
      </c>
      <c r="K423" t="s">
        <v>17</v>
      </c>
      <c r="L423" s="3">
        <v>51</v>
      </c>
      <c r="M423" s="3" t="str" cm="1">
        <f t="array" ref="M423">_xlfn.IFS(
L423&gt;=65,"Retirement Age",
AND(L423&lt;65,L423&gt;=40),"Middle Aged",
AND(L423&lt;40,L423&gt;=30),"In the 30s",
L423&lt;30,"Below 30")</f>
        <v>Middle Aged</v>
      </c>
      <c r="N423" t="s">
        <v>18</v>
      </c>
    </row>
    <row r="424" spans="1:14" x14ac:dyDescent="0.25">
      <c r="A424">
        <v>24901</v>
      </c>
      <c r="B424" t="s">
        <v>37</v>
      </c>
      <c r="C424" t="s">
        <v>38</v>
      </c>
      <c r="D424" s="1">
        <v>110000</v>
      </c>
      <c r="E424" s="3">
        <v>0</v>
      </c>
      <c r="F424" t="s">
        <v>19</v>
      </c>
      <c r="G424" t="s">
        <v>28</v>
      </c>
      <c r="H424" t="s">
        <v>18</v>
      </c>
      <c r="I424" s="3">
        <v>3</v>
      </c>
      <c r="J424" t="s">
        <v>45</v>
      </c>
      <c r="K424" t="s">
        <v>24</v>
      </c>
      <c r="L424" s="3">
        <v>32</v>
      </c>
      <c r="M424" s="3" t="str" cm="1">
        <f t="array" ref="M424">_xlfn.IFS(
L424&gt;=65,"Retirement Age",
AND(L424&lt;65,L424&gt;=40),"Middle Aged",
AND(L424&lt;40,L424&gt;=30),"In the 30s",
L424&lt;30,"Below 30")</f>
        <v>In the 30s</v>
      </c>
      <c r="N424" t="s">
        <v>15</v>
      </c>
    </row>
    <row r="425" spans="1:14" x14ac:dyDescent="0.25">
      <c r="A425">
        <v>27169</v>
      </c>
      <c r="B425" t="s">
        <v>37</v>
      </c>
      <c r="C425" t="s">
        <v>38</v>
      </c>
      <c r="D425" s="1">
        <v>30000</v>
      </c>
      <c r="E425" s="3">
        <v>0</v>
      </c>
      <c r="F425" t="s">
        <v>27</v>
      </c>
      <c r="G425" t="s">
        <v>25</v>
      </c>
      <c r="H425" t="s">
        <v>15</v>
      </c>
      <c r="I425" s="3">
        <v>1</v>
      </c>
      <c r="J425" t="s">
        <v>22</v>
      </c>
      <c r="K425" t="s">
        <v>17</v>
      </c>
      <c r="L425" s="3">
        <v>34</v>
      </c>
      <c r="M425" s="3" t="str" cm="1">
        <f t="array" ref="M425">_xlfn.IFS(
L425&gt;=65,"Retirement Age",
AND(L425&lt;65,L425&gt;=40),"Middle Aged",
AND(L425&lt;40,L425&gt;=30),"In the 30s",
L425&lt;30,"Below 30")</f>
        <v>In the 30s</v>
      </c>
      <c r="N425" t="s">
        <v>15</v>
      </c>
    </row>
    <row r="426" spans="1:14" x14ac:dyDescent="0.25">
      <c r="A426">
        <v>14805</v>
      </c>
      <c r="B426" t="s">
        <v>37</v>
      </c>
      <c r="C426" t="s">
        <v>39</v>
      </c>
      <c r="D426" s="1">
        <v>10000</v>
      </c>
      <c r="E426" s="3">
        <v>3</v>
      </c>
      <c r="F426" t="s">
        <v>29</v>
      </c>
      <c r="G426" t="s">
        <v>25</v>
      </c>
      <c r="H426" t="s">
        <v>15</v>
      </c>
      <c r="I426" s="3">
        <v>2</v>
      </c>
      <c r="J426" t="s">
        <v>16</v>
      </c>
      <c r="K426" t="s">
        <v>17</v>
      </c>
      <c r="L426" s="3">
        <v>43</v>
      </c>
      <c r="M426" s="3" t="str" cm="1">
        <f t="array" ref="M426">_xlfn.IFS(
L426&gt;=65,"Retirement Age",
AND(L426&lt;65,L426&gt;=40),"Middle Aged",
AND(L426&lt;40,L426&gt;=30),"In the 30s",
L426&lt;30,"Below 30")</f>
        <v>Middle Aged</v>
      </c>
      <c r="N426" t="s">
        <v>18</v>
      </c>
    </row>
    <row r="427" spans="1:14" x14ac:dyDescent="0.25">
      <c r="A427">
        <v>15822</v>
      </c>
      <c r="B427" t="s">
        <v>36</v>
      </c>
      <c r="C427" t="s">
        <v>38</v>
      </c>
      <c r="D427" s="1">
        <v>40000</v>
      </c>
      <c r="E427" s="3">
        <v>2</v>
      </c>
      <c r="F427" t="s">
        <v>13</v>
      </c>
      <c r="G427" t="s">
        <v>28</v>
      </c>
      <c r="H427" t="s">
        <v>15</v>
      </c>
      <c r="I427" s="3">
        <v>2</v>
      </c>
      <c r="J427" t="s">
        <v>16</v>
      </c>
      <c r="K427" t="s">
        <v>24</v>
      </c>
      <c r="L427" s="3">
        <v>67</v>
      </c>
      <c r="M427" s="3" t="str" cm="1">
        <f t="array" ref="M427">_xlfn.IFS(
L427&gt;=65,"Retirement Age",
AND(L427&lt;65,L427&gt;=40),"Middle Aged",
AND(L427&lt;40,L427&gt;=30),"In the 30s",
L427&lt;30,"Below 30")</f>
        <v>Retirement Age</v>
      </c>
      <c r="N427" t="s">
        <v>18</v>
      </c>
    </row>
    <row r="428" spans="1:14" x14ac:dyDescent="0.25">
      <c r="A428">
        <v>19389</v>
      </c>
      <c r="B428" t="s">
        <v>37</v>
      </c>
      <c r="C428" t="s">
        <v>38</v>
      </c>
      <c r="D428" s="1">
        <v>30000</v>
      </c>
      <c r="E428" s="3">
        <v>0</v>
      </c>
      <c r="F428" t="s">
        <v>19</v>
      </c>
      <c r="G428" t="s">
        <v>20</v>
      </c>
      <c r="H428" t="s">
        <v>18</v>
      </c>
      <c r="I428" s="3">
        <v>1</v>
      </c>
      <c r="J428" t="s">
        <v>22</v>
      </c>
      <c r="K428" t="s">
        <v>17</v>
      </c>
      <c r="L428" s="3">
        <v>28</v>
      </c>
      <c r="M428" s="3" t="str" cm="1">
        <f t="array" ref="M428">_xlfn.IFS(
L428&gt;=65,"Retirement Age",
AND(L428&lt;65,L428&gt;=40),"Middle Aged",
AND(L428&lt;40,L428&gt;=30),"In the 30s",
L428&lt;30,"Below 30")</f>
        <v>Below 30</v>
      </c>
      <c r="N428" t="s">
        <v>18</v>
      </c>
    </row>
    <row r="429" spans="1:14" x14ac:dyDescent="0.25">
      <c r="A429">
        <v>17048</v>
      </c>
      <c r="B429" t="s">
        <v>37</v>
      </c>
      <c r="C429" t="s">
        <v>39</v>
      </c>
      <c r="D429" s="1">
        <v>90000</v>
      </c>
      <c r="E429" s="3">
        <v>1</v>
      </c>
      <c r="F429" t="s">
        <v>31</v>
      </c>
      <c r="G429" t="s">
        <v>28</v>
      </c>
      <c r="H429" t="s">
        <v>15</v>
      </c>
      <c r="I429" s="3">
        <v>0</v>
      </c>
      <c r="J429" t="s">
        <v>16</v>
      </c>
      <c r="K429" t="s">
        <v>24</v>
      </c>
      <c r="L429" s="3">
        <v>36</v>
      </c>
      <c r="M429" s="3" t="str" cm="1">
        <f t="array" ref="M429">_xlfn.IFS(
L429&gt;=65,"Retirement Age",
AND(L429&lt;65,L429&gt;=40),"Middle Aged",
AND(L429&lt;40,L429&gt;=30),"In the 30s",
L429&lt;30,"Below 30")</f>
        <v>In the 30s</v>
      </c>
      <c r="N429" t="s">
        <v>15</v>
      </c>
    </row>
    <row r="430" spans="1:14" x14ac:dyDescent="0.25">
      <c r="A430">
        <v>22204</v>
      </c>
      <c r="B430" t="s">
        <v>36</v>
      </c>
      <c r="C430" t="s">
        <v>38</v>
      </c>
      <c r="D430" s="1">
        <v>110000</v>
      </c>
      <c r="E430" s="3">
        <v>4</v>
      </c>
      <c r="F430" t="s">
        <v>13</v>
      </c>
      <c r="G430" t="s">
        <v>28</v>
      </c>
      <c r="H430" t="s">
        <v>15</v>
      </c>
      <c r="I430" s="3">
        <v>3</v>
      </c>
      <c r="J430" t="s">
        <v>22</v>
      </c>
      <c r="K430" t="s">
        <v>24</v>
      </c>
      <c r="L430" s="3">
        <v>48</v>
      </c>
      <c r="M430" s="3" t="str" cm="1">
        <f t="array" ref="M430">_xlfn.IFS(
L430&gt;=65,"Retirement Age",
AND(L430&lt;65,L430&gt;=40),"Middle Aged",
AND(L430&lt;40,L430&gt;=30),"In the 30s",
L430&lt;30,"Below 30")</f>
        <v>Middle Aged</v>
      </c>
      <c r="N430" t="s">
        <v>18</v>
      </c>
    </row>
    <row r="431" spans="1:14" x14ac:dyDescent="0.25">
      <c r="A431">
        <v>12718</v>
      </c>
      <c r="B431" t="s">
        <v>37</v>
      </c>
      <c r="C431" t="s">
        <v>39</v>
      </c>
      <c r="D431" s="1">
        <v>30000</v>
      </c>
      <c r="E431" s="3">
        <v>0</v>
      </c>
      <c r="F431" t="s">
        <v>19</v>
      </c>
      <c r="G431" t="s">
        <v>20</v>
      </c>
      <c r="H431" t="s">
        <v>15</v>
      </c>
      <c r="I431" s="3">
        <v>1</v>
      </c>
      <c r="J431" t="s">
        <v>22</v>
      </c>
      <c r="K431" t="s">
        <v>17</v>
      </c>
      <c r="L431" s="3">
        <v>31</v>
      </c>
      <c r="M431" s="3" t="str" cm="1">
        <f t="array" ref="M431">_xlfn.IFS(
L431&gt;=65,"Retirement Age",
AND(L431&lt;65,L431&gt;=40),"Middle Aged",
AND(L431&lt;40,L431&gt;=30),"In the 30s",
L431&lt;30,"Below 30")</f>
        <v>In the 30s</v>
      </c>
      <c r="N431" t="s">
        <v>18</v>
      </c>
    </row>
    <row r="432" spans="1:14" x14ac:dyDescent="0.25">
      <c r="A432">
        <v>15019</v>
      </c>
      <c r="B432" t="s">
        <v>37</v>
      </c>
      <c r="C432" t="s">
        <v>39</v>
      </c>
      <c r="D432" s="1">
        <v>30000</v>
      </c>
      <c r="E432" s="3">
        <v>3</v>
      </c>
      <c r="F432" t="s">
        <v>27</v>
      </c>
      <c r="G432" t="s">
        <v>14</v>
      </c>
      <c r="H432" t="s">
        <v>15</v>
      </c>
      <c r="I432" s="3">
        <v>2</v>
      </c>
      <c r="J432" t="s">
        <v>23</v>
      </c>
      <c r="K432" t="s">
        <v>24</v>
      </c>
      <c r="L432" s="3">
        <v>55</v>
      </c>
      <c r="M432" s="3" t="str" cm="1">
        <f t="array" ref="M432">_xlfn.IFS(
L432&gt;=65,"Retirement Age",
AND(L432&lt;65,L432&gt;=40),"Middle Aged",
AND(L432&lt;40,L432&gt;=30),"In the 30s",
L432&lt;30,"Below 30")</f>
        <v>Middle Aged</v>
      </c>
      <c r="N432" t="s">
        <v>18</v>
      </c>
    </row>
    <row r="433" spans="1:14" x14ac:dyDescent="0.25">
      <c r="A433">
        <v>28488</v>
      </c>
      <c r="B433" t="s">
        <v>37</v>
      </c>
      <c r="C433" t="s">
        <v>38</v>
      </c>
      <c r="D433" s="1">
        <v>20000</v>
      </c>
      <c r="E433" s="3">
        <v>0</v>
      </c>
      <c r="F433" t="s">
        <v>19</v>
      </c>
      <c r="G433" t="s">
        <v>25</v>
      </c>
      <c r="H433" t="s">
        <v>15</v>
      </c>
      <c r="I433" s="3">
        <v>0</v>
      </c>
      <c r="J433" t="s">
        <v>16</v>
      </c>
      <c r="K433" t="s">
        <v>24</v>
      </c>
      <c r="L433" s="3">
        <v>28</v>
      </c>
      <c r="M433" s="3" t="str" cm="1">
        <f t="array" ref="M433">_xlfn.IFS(
L433&gt;=65,"Retirement Age",
AND(L433&lt;65,L433&gt;=40),"Middle Aged",
AND(L433&lt;40,L433&gt;=30),"In the 30s",
L433&lt;30,"Below 30")</f>
        <v>Below 30</v>
      </c>
      <c r="N433" t="s">
        <v>15</v>
      </c>
    </row>
    <row r="434" spans="1:14" x14ac:dyDescent="0.25">
      <c r="A434">
        <v>21891</v>
      </c>
      <c r="B434" t="s">
        <v>36</v>
      </c>
      <c r="C434" t="s">
        <v>39</v>
      </c>
      <c r="D434" s="1">
        <v>110000</v>
      </c>
      <c r="E434" s="3">
        <v>0</v>
      </c>
      <c r="F434" t="s">
        <v>27</v>
      </c>
      <c r="G434" t="s">
        <v>28</v>
      </c>
      <c r="H434" t="s">
        <v>15</v>
      </c>
      <c r="I434" s="3">
        <v>3</v>
      </c>
      <c r="J434" t="s">
        <v>45</v>
      </c>
      <c r="K434" t="s">
        <v>24</v>
      </c>
      <c r="L434" s="3">
        <v>34</v>
      </c>
      <c r="M434" s="3" t="str" cm="1">
        <f t="array" ref="M434">_xlfn.IFS(
L434&gt;=65,"Retirement Age",
AND(L434&lt;65,L434&gt;=40),"Middle Aged",
AND(L434&lt;40,L434&gt;=30),"In the 30s",
L434&lt;30,"Below 30")</f>
        <v>In the 30s</v>
      </c>
      <c r="N434" t="s">
        <v>15</v>
      </c>
    </row>
    <row r="435" spans="1:14" x14ac:dyDescent="0.25">
      <c r="A435">
        <v>27814</v>
      </c>
      <c r="B435" t="s">
        <v>37</v>
      </c>
      <c r="C435" t="s">
        <v>39</v>
      </c>
      <c r="D435" s="1">
        <v>30000</v>
      </c>
      <c r="E435" s="3">
        <v>3</v>
      </c>
      <c r="F435" t="s">
        <v>19</v>
      </c>
      <c r="G435" t="s">
        <v>20</v>
      </c>
      <c r="H435" t="s">
        <v>18</v>
      </c>
      <c r="I435" s="3">
        <v>1</v>
      </c>
      <c r="J435" t="s">
        <v>16</v>
      </c>
      <c r="K435" t="s">
        <v>17</v>
      </c>
      <c r="L435" s="3">
        <v>26</v>
      </c>
      <c r="M435" s="3" t="str" cm="1">
        <f t="array" ref="M435">_xlfn.IFS(
L435&gt;=65,"Retirement Age",
AND(L435&lt;65,L435&gt;=40),"Middle Aged",
AND(L435&lt;40,L435&gt;=30),"In the 30s",
L435&lt;30,"Below 30")</f>
        <v>Below 30</v>
      </c>
      <c r="N435" t="s">
        <v>18</v>
      </c>
    </row>
    <row r="436" spans="1:14" x14ac:dyDescent="0.25">
      <c r="A436">
        <v>22175</v>
      </c>
      <c r="B436" t="s">
        <v>36</v>
      </c>
      <c r="C436" t="s">
        <v>39</v>
      </c>
      <c r="D436" s="1">
        <v>30000</v>
      </c>
      <c r="E436" s="3">
        <v>3</v>
      </c>
      <c r="F436" t="s">
        <v>27</v>
      </c>
      <c r="G436" t="s">
        <v>14</v>
      </c>
      <c r="H436" t="s">
        <v>15</v>
      </c>
      <c r="I436" s="3">
        <v>2</v>
      </c>
      <c r="J436" t="s">
        <v>23</v>
      </c>
      <c r="K436" t="s">
        <v>24</v>
      </c>
      <c r="L436" s="3">
        <v>53</v>
      </c>
      <c r="M436" s="3" t="str" cm="1">
        <f t="array" ref="M436">_xlfn.IFS(
L436&gt;=65,"Retirement Age",
AND(L436&lt;65,L436&gt;=40),"Middle Aged",
AND(L436&lt;40,L436&gt;=30),"In the 30s",
L436&lt;30,"Below 30")</f>
        <v>Middle Aged</v>
      </c>
      <c r="N436" t="s">
        <v>15</v>
      </c>
    </row>
    <row r="437" spans="1:14" x14ac:dyDescent="0.25">
      <c r="A437">
        <v>29447</v>
      </c>
      <c r="B437" t="s">
        <v>37</v>
      </c>
      <c r="C437" t="s">
        <v>39</v>
      </c>
      <c r="D437" s="1">
        <v>10000</v>
      </c>
      <c r="E437" s="3">
        <v>2</v>
      </c>
      <c r="F437" t="s">
        <v>13</v>
      </c>
      <c r="G437" t="s">
        <v>20</v>
      </c>
      <c r="H437" t="s">
        <v>18</v>
      </c>
      <c r="I437" s="3">
        <v>1</v>
      </c>
      <c r="J437" t="s">
        <v>22</v>
      </c>
      <c r="K437" t="s">
        <v>17</v>
      </c>
      <c r="L437" s="3">
        <v>68</v>
      </c>
      <c r="M437" s="3" t="str" cm="1">
        <f t="array" ref="M437">_xlfn.IFS(
L437&gt;=65,"Retirement Age",
AND(L437&lt;65,L437&gt;=40),"Middle Aged",
AND(L437&lt;40,L437&gt;=30),"In the 30s",
L437&lt;30,"Below 30")</f>
        <v>Retirement Age</v>
      </c>
      <c r="N437" t="s">
        <v>18</v>
      </c>
    </row>
    <row r="438" spans="1:14" x14ac:dyDescent="0.25">
      <c r="A438">
        <v>19784</v>
      </c>
      <c r="B438" t="s">
        <v>36</v>
      </c>
      <c r="C438" t="s">
        <v>39</v>
      </c>
      <c r="D438" s="1">
        <v>80000</v>
      </c>
      <c r="E438" s="3">
        <v>2</v>
      </c>
      <c r="F438" t="s">
        <v>27</v>
      </c>
      <c r="G438" t="s">
        <v>14</v>
      </c>
      <c r="H438" t="s">
        <v>15</v>
      </c>
      <c r="I438" s="3">
        <v>2</v>
      </c>
      <c r="J438" t="s">
        <v>23</v>
      </c>
      <c r="K438" t="s">
        <v>24</v>
      </c>
      <c r="L438" s="3">
        <v>50</v>
      </c>
      <c r="M438" s="3" t="str" cm="1">
        <f t="array" ref="M438">_xlfn.IFS(
L438&gt;=65,"Retirement Age",
AND(L438&lt;65,L438&gt;=40),"Middle Aged",
AND(L438&lt;40,L438&gt;=30),"In the 30s",
L438&lt;30,"Below 30")</f>
        <v>Middle Aged</v>
      </c>
      <c r="N438" t="s">
        <v>15</v>
      </c>
    </row>
    <row r="439" spans="1:14" x14ac:dyDescent="0.25">
      <c r="A439">
        <v>27824</v>
      </c>
      <c r="B439" t="s">
        <v>37</v>
      </c>
      <c r="C439" t="s">
        <v>39</v>
      </c>
      <c r="D439" s="1">
        <v>30000</v>
      </c>
      <c r="E439" s="3">
        <v>3</v>
      </c>
      <c r="F439" t="s">
        <v>19</v>
      </c>
      <c r="G439" t="s">
        <v>20</v>
      </c>
      <c r="H439" t="s">
        <v>15</v>
      </c>
      <c r="I439" s="3">
        <v>2</v>
      </c>
      <c r="J439" t="s">
        <v>16</v>
      </c>
      <c r="K439" t="s">
        <v>17</v>
      </c>
      <c r="L439" s="3">
        <v>28</v>
      </c>
      <c r="M439" s="3" t="str" cm="1">
        <f t="array" ref="M439">_xlfn.IFS(
L439&gt;=65,"Retirement Age",
AND(L439&lt;65,L439&gt;=40),"Middle Aged",
AND(L439&lt;40,L439&gt;=30),"In the 30s",
L439&lt;30,"Below 30")</f>
        <v>Below 30</v>
      </c>
      <c r="N439" t="s">
        <v>15</v>
      </c>
    </row>
    <row r="440" spans="1:14" x14ac:dyDescent="0.25">
      <c r="A440">
        <v>24093</v>
      </c>
      <c r="B440" t="s">
        <v>37</v>
      </c>
      <c r="C440" t="s">
        <v>39</v>
      </c>
      <c r="D440" s="1">
        <v>80000</v>
      </c>
      <c r="E440" s="3">
        <v>0</v>
      </c>
      <c r="F440" t="s">
        <v>31</v>
      </c>
      <c r="G440" t="s">
        <v>14</v>
      </c>
      <c r="H440" t="s">
        <v>18</v>
      </c>
      <c r="I440" s="3">
        <v>0</v>
      </c>
      <c r="J440" t="s">
        <v>16</v>
      </c>
      <c r="K440" t="s">
        <v>17</v>
      </c>
      <c r="L440" s="3">
        <v>40</v>
      </c>
      <c r="M440" s="3" t="str" cm="1">
        <f t="array" ref="M440">_xlfn.IFS(
L440&gt;=65,"Retirement Age",
AND(L440&lt;65,L440&gt;=40),"Middle Aged",
AND(L440&lt;40,L440&gt;=30),"In the 30s",
L440&lt;30,"Below 30")</f>
        <v>Middle Aged</v>
      </c>
      <c r="N440" t="s">
        <v>15</v>
      </c>
    </row>
    <row r="441" spans="1:14" x14ac:dyDescent="0.25">
      <c r="A441">
        <v>19618</v>
      </c>
      <c r="B441" t="s">
        <v>36</v>
      </c>
      <c r="C441" t="s">
        <v>38</v>
      </c>
      <c r="D441" s="1">
        <v>70000</v>
      </c>
      <c r="E441" s="3">
        <v>5</v>
      </c>
      <c r="F441" t="s">
        <v>19</v>
      </c>
      <c r="G441" t="s">
        <v>14</v>
      </c>
      <c r="H441" t="s">
        <v>15</v>
      </c>
      <c r="I441" s="3">
        <v>2</v>
      </c>
      <c r="J441" t="s">
        <v>16</v>
      </c>
      <c r="K441" t="s">
        <v>24</v>
      </c>
      <c r="L441" s="3">
        <v>44</v>
      </c>
      <c r="M441" s="3" t="str" cm="1">
        <f t="array" ref="M441">_xlfn.IFS(
L441&gt;=65,"Retirement Age",
AND(L441&lt;65,L441&gt;=40),"Middle Aged",
AND(L441&lt;40,L441&gt;=30),"In the 30s",
L441&lt;30,"Below 30")</f>
        <v>Middle Aged</v>
      </c>
      <c r="N441" t="s">
        <v>18</v>
      </c>
    </row>
    <row r="442" spans="1:14" x14ac:dyDescent="0.25">
      <c r="A442">
        <v>21561</v>
      </c>
      <c r="B442" t="s">
        <v>37</v>
      </c>
      <c r="C442" t="s">
        <v>38</v>
      </c>
      <c r="D442" s="1">
        <v>90000</v>
      </c>
      <c r="E442" s="3">
        <v>0</v>
      </c>
      <c r="F442" t="s">
        <v>13</v>
      </c>
      <c r="G442" t="s">
        <v>21</v>
      </c>
      <c r="H442" t="s">
        <v>18</v>
      </c>
      <c r="I442" s="3">
        <v>3</v>
      </c>
      <c r="J442" t="s">
        <v>45</v>
      </c>
      <c r="K442" t="s">
        <v>24</v>
      </c>
      <c r="L442" s="3">
        <v>34</v>
      </c>
      <c r="M442" s="3" t="str" cm="1">
        <f t="array" ref="M442">_xlfn.IFS(
L442&gt;=65,"Retirement Age",
AND(L442&lt;65,L442&gt;=40),"Middle Aged",
AND(L442&lt;40,L442&gt;=30),"In the 30s",
L442&lt;30,"Below 30")</f>
        <v>In the 30s</v>
      </c>
      <c r="N442" t="s">
        <v>15</v>
      </c>
    </row>
    <row r="443" spans="1:14" x14ac:dyDescent="0.25">
      <c r="A443">
        <v>11061</v>
      </c>
      <c r="B443" t="s">
        <v>36</v>
      </c>
      <c r="C443" t="s">
        <v>38</v>
      </c>
      <c r="D443" s="1">
        <v>70000</v>
      </c>
      <c r="E443" s="3">
        <v>2</v>
      </c>
      <c r="F443" t="s">
        <v>19</v>
      </c>
      <c r="G443" t="s">
        <v>14</v>
      </c>
      <c r="H443" t="s">
        <v>15</v>
      </c>
      <c r="I443" s="3">
        <v>2</v>
      </c>
      <c r="J443" t="s">
        <v>23</v>
      </c>
      <c r="K443" t="s">
        <v>24</v>
      </c>
      <c r="L443" s="3">
        <v>52</v>
      </c>
      <c r="M443" s="3" t="str" cm="1">
        <f t="array" ref="M443">_xlfn.IFS(
L443&gt;=65,"Retirement Age",
AND(L443&lt;65,L443&gt;=40),"Middle Aged",
AND(L443&lt;40,L443&gt;=30),"In the 30s",
L443&lt;30,"Below 30")</f>
        <v>Middle Aged</v>
      </c>
      <c r="N443" t="s">
        <v>15</v>
      </c>
    </row>
    <row r="444" spans="1:14" x14ac:dyDescent="0.25">
      <c r="A444">
        <v>26651</v>
      </c>
      <c r="B444" t="s">
        <v>37</v>
      </c>
      <c r="C444" t="s">
        <v>38</v>
      </c>
      <c r="D444" s="1">
        <v>80000</v>
      </c>
      <c r="E444" s="3">
        <v>4</v>
      </c>
      <c r="F444" t="s">
        <v>31</v>
      </c>
      <c r="G444" t="s">
        <v>28</v>
      </c>
      <c r="H444" t="s">
        <v>15</v>
      </c>
      <c r="I444" s="3">
        <v>0</v>
      </c>
      <c r="J444" t="s">
        <v>16</v>
      </c>
      <c r="K444" t="s">
        <v>24</v>
      </c>
      <c r="L444" s="3">
        <v>36</v>
      </c>
      <c r="M444" s="3" t="str" cm="1">
        <f t="array" ref="M444">_xlfn.IFS(
L444&gt;=65,"Retirement Age",
AND(L444&lt;65,L444&gt;=40),"Middle Aged",
AND(L444&lt;40,L444&gt;=30),"In the 30s",
L444&lt;30,"Below 30")</f>
        <v>In the 30s</v>
      </c>
      <c r="N444" t="s">
        <v>15</v>
      </c>
    </row>
    <row r="445" spans="1:14" x14ac:dyDescent="0.25">
      <c r="A445">
        <v>21108</v>
      </c>
      <c r="B445" t="s">
        <v>36</v>
      </c>
      <c r="C445" t="s">
        <v>39</v>
      </c>
      <c r="D445" s="1">
        <v>40000</v>
      </c>
      <c r="E445" s="3">
        <v>1</v>
      </c>
      <c r="F445" t="s">
        <v>13</v>
      </c>
      <c r="G445" t="s">
        <v>14</v>
      </c>
      <c r="H445" t="s">
        <v>15</v>
      </c>
      <c r="I445" s="3">
        <v>1</v>
      </c>
      <c r="J445" t="s">
        <v>16</v>
      </c>
      <c r="K445" t="s">
        <v>17</v>
      </c>
      <c r="L445" s="3">
        <v>43</v>
      </c>
      <c r="M445" s="3" t="str" cm="1">
        <f t="array" ref="M445">_xlfn.IFS(
L445&gt;=65,"Retirement Age",
AND(L445&lt;65,L445&gt;=40),"Middle Aged",
AND(L445&lt;40,L445&gt;=30),"In the 30s",
L445&lt;30,"Below 30")</f>
        <v>Middle Aged</v>
      </c>
      <c r="N445" t="s">
        <v>15</v>
      </c>
    </row>
    <row r="446" spans="1:14" x14ac:dyDescent="0.25">
      <c r="A446">
        <v>12731</v>
      </c>
      <c r="B446" t="s">
        <v>37</v>
      </c>
      <c r="C446" t="s">
        <v>38</v>
      </c>
      <c r="D446" s="1">
        <v>30000</v>
      </c>
      <c r="E446" s="3">
        <v>0</v>
      </c>
      <c r="F446" t="s">
        <v>27</v>
      </c>
      <c r="G446" t="s">
        <v>25</v>
      </c>
      <c r="H446" t="s">
        <v>18</v>
      </c>
      <c r="I446" s="3">
        <v>1</v>
      </c>
      <c r="J446" t="s">
        <v>26</v>
      </c>
      <c r="K446" t="s">
        <v>17</v>
      </c>
      <c r="L446" s="3">
        <v>32</v>
      </c>
      <c r="M446" s="3" t="str" cm="1">
        <f t="array" ref="M446">_xlfn.IFS(
L446&gt;=65,"Retirement Age",
AND(L446&lt;65,L446&gt;=40),"Middle Aged",
AND(L446&lt;40,L446&gt;=30),"In the 30s",
L446&lt;30,"Below 30")</f>
        <v>In the 30s</v>
      </c>
      <c r="N446" t="s">
        <v>18</v>
      </c>
    </row>
    <row r="447" spans="1:14" x14ac:dyDescent="0.25">
      <c r="A447">
        <v>25307</v>
      </c>
      <c r="B447" t="s">
        <v>36</v>
      </c>
      <c r="C447" t="s">
        <v>39</v>
      </c>
      <c r="D447" s="1">
        <v>40000</v>
      </c>
      <c r="E447" s="3">
        <v>1</v>
      </c>
      <c r="F447" t="s">
        <v>13</v>
      </c>
      <c r="G447" t="s">
        <v>14</v>
      </c>
      <c r="H447" t="s">
        <v>15</v>
      </c>
      <c r="I447" s="3">
        <v>1</v>
      </c>
      <c r="J447" t="s">
        <v>26</v>
      </c>
      <c r="K447" t="s">
        <v>17</v>
      </c>
      <c r="L447" s="3">
        <v>32</v>
      </c>
      <c r="M447" s="3" t="str" cm="1">
        <f t="array" ref="M447">_xlfn.IFS(
L447&gt;=65,"Retirement Age",
AND(L447&lt;65,L447&gt;=40),"Middle Aged",
AND(L447&lt;40,L447&gt;=30),"In the 30s",
L447&lt;30,"Below 30")</f>
        <v>In the 30s</v>
      </c>
      <c r="N447" t="s">
        <v>15</v>
      </c>
    </row>
    <row r="448" spans="1:14" x14ac:dyDescent="0.25">
      <c r="A448">
        <v>14278</v>
      </c>
      <c r="B448" t="s">
        <v>36</v>
      </c>
      <c r="C448" t="s">
        <v>39</v>
      </c>
      <c r="D448" s="1">
        <v>130000</v>
      </c>
      <c r="E448" s="3">
        <v>0</v>
      </c>
      <c r="F448" t="s">
        <v>31</v>
      </c>
      <c r="G448" t="s">
        <v>28</v>
      </c>
      <c r="H448" t="s">
        <v>15</v>
      </c>
      <c r="I448" s="3">
        <v>1</v>
      </c>
      <c r="J448" t="s">
        <v>45</v>
      </c>
      <c r="K448" t="s">
        <v>24</v>
      </c>
      <c r="L448" s="3">
        <v>48</v>
      </c>
      <c r="M448" s="3" t="str" cm="1">
        <f t="array" ref="M448">_xlfn.IFS(
L448&gt;=65,"Retirement Age",
AND(L448&lt;65,L448&gt;=40),"Middle Aged",
AND(L448&lt;40,L448&gt;=30),"In the 30s",
L448&lt;30,"Below 30")</f>
        <v>Middle Aged</v>
      </c>
      <c r="N448" t="s">
        <v>18</v>
      </c>
    </row>
    <row r="449" spans="1:14" x14ac:dyDescent="0.25">
      <c r="A449">
        <v>20711</v>
      </c>
      <c r="B449" t="s">
        <v>36</v>
      </c>
      <c r="C449" t="s">
        <v>39</v>
      </c>
      <c r="D449" s="1">
        <v>40000</v>
      </c>
      <c r="E449" s="3">
        <v>1</v>
      </c>
      <c r="F449" t="s">
        <v>13</v>
      </c>
      <c r="G449" t="s">
        <v>14</v>
      </c>
      <c r="H449" t="s">
        <v>15</v>
      </c>
      <c r="I449" s="3">
        <v>0</v>
      </c>
      <c r="J449" t="s">
        <v>26</v>
      </c>
      <c r="K449" t="s">
        <v>17</v>
      </c>
      <c r="L449" s="3">
        <v>32</v>
      </c>
      <c r="M449" s="3" t="str" cm="1">
        <f t="array" ref="M449">_xlfn.IFS(
L449&gt;=65,"Retirement Age",
AND(L449&lt;65,L449&gt;=40),"Middle Aged",
AND(L449&lt;40,L449&gt;=30),"In the 30s",
L449&lt;30,"Below 30")</f>
        <v>In the 30s</v>
      </c>
      <c r="N449" t="s">
        <v>15</v>
      </c>
    </row>
    <row r="450" spans="1:14" x14ac:dyDescent="0.25">
      <c r="A450">
        <v>11383</v>
      </c>
      <c r="B450" t="s">
        <v>36</v>
      </c>
      <c r="C450" t="s">
        <v>39</v>
      </c>
      <c r="D450" s="1">
        <v>30000</v>
      </c>
      <c r="E450" s="3">
        <v>3</v>
      </c>
      <c r="F450" t="s">
        <v>31</v>
      </c>
      <c r="G450" t="s">
        <v>20</v>
      </c>
      <c r="H450" t="s">
        <v>15</v>
      </c>
      <c r="I450" s="3">
        <v>0</v>
      </c>
      <c r="J450" t="s">
        <v>16</v>
      </c>
      <c r="K450" t="s">
        <v>17</v>
      </c>
      <c r="L450" s="3">
        <v>46</v>
      </c>
      <c r="M450" s="3" t="str" cm="1">
        <f t="array" ref="M450">_xlfn.IFS(
L450&gt;=65,"Retirement Age",
AND(L450&lt;65,L450&gt;=40),"Middle Aged",
AND(L450&lt;40,L450&gt;=30),"In the 30s",
L450&lt;30,"Below 30")</f>
        <v>Middle Aged</v>
      </c>
      <c r="N450" t="s">
        <v>18</v>
      </c>
    </row>
    <row r="451" spans="1:14" x14ac:dyDescent="0.25">
      <c r="A451">
        <v>12497</v>
      </c>
      <c r="B451" t="s">
        <v>36</v>
      </c>
      <c r="C451" t="s">
        <v>39</v>
      </c>
      <c r="D451" s="1">
        <v>40000</v>
      </c>
      <c r="E451" s="3">
        <v>1</v>
      </c>
      <c r="F451" t="s">
        <v>13</v>
      </c>
      <c r="G451" t="s">
        <v>14</v>
      </c>
      <c r="H451" t="s">
        <v>15</v>
      </c>
      <c r="I451" s="3">
        <v>0</v>
      </c>
      <c r="J451" t="s">
        <v>16</v>
      </c>
      <c r="K451" t="s">
        <v>17</v>
      </c>
      <c r="L451" s="3">
        <v>42</v>
      </c>
      <c r="M451" s="3" t="str" cm="1">
        <f t="array" ref="M451">_xlfn.IFS(
L451&gt;=65,"Retirement Age",
AND(L451&lt;65,L451&gt;=40),"Middle Aged",
AND(L451&lt;40,L451&gt;=30),"In the 30s",
L451&lt;30,"Below 30")</f>
        <v>Middle Aged</v>
      </c>
      <c r="N451" t="s">
        <v>18</v>
      </c>
    </row>
    <row r="452" spans="1:14" x14ac:dyDescent="0.25">
      <c r="A452">
        <v>16559</v>
      </c>
      <c r="B452" t="s">
        <v>37</v>
      </c>
      <c r="C452" t="s">
        <v>39</v>
      </c>
      <c r="D452" s="1">
        <v>10000</v>
      </c>
      <c r="E452" s="3">
        <v>2</v>
      </c>
      <c r="F452" t="s">
        <v>27</v>
      </c>
      <c r="G452" t="s">
        <v>25</v>
      </c>
      <c r="H452" t="s">
        <v>15</v>
      </c>
      <c r="I452" s="3">
        <v>0</v>
      </c>
      <c r="J452" t="s">
        <v>16</v>
      </c>
      <c r="K452" t="s">
        <v>17</v>
      </c>
      <c r="L452" s="3">
        <v>36</v>
      </c>
      <c r="M452" s="3" t="str" cm="1">
        <f t="array" ref="M452">_xlfn.IFS(
L452&gt;=65,"Retirement Age",
AND(L452&lt;65,L452&gt;=40),"Middle Aged",
AND(L452&lt;40,L452&gt;=30),"In the 30s",
L452&lt;30,"Below 30")</f>
        <v>In the 30s</v>
      </c>
      <c r="N452" t="s">
        <v>15</v>
      </c>
    </row>
    <row r="453" spans="1:14" x14ac:dyDescent="0.25">
      <c r="A453">
        <v>11585</v>
      </c>
      <c r="B453" t="s">
        <v>36</v>
      </c>
      <c r="C453" t="s">
        <v>39</v>
      </c>
      <c r="D453" s="1">
        <v>40000</v>
      </c>
      <c r="E453" s="3">
        <v>1</v>
      </c>
      <c r="F453" t="s">
        <v>13</v>
      </c>
      <c r="G453" t="s">
        <v>14</v>
      </c>
      <c r="H453" t="s">
        <v>15</v>
      </c>
      <c r="I453" s="3">
        <v>0</v>
      </c>
      <c r="J453" t="s">
        <v>16</v>
      </c>
      <c r="K453" t="s">
        <v>17</v>
      </c>
      <c r="L453" s="3">
        <v>41</v>
      </c>
      <c r="M453" s="3" t="str" cm="1">
        <f t="array" ref="M453">_xlfn.IFS(
L453&gt;=65,"Retirement Age",
AND(L453&lt;65,L453&gt;=40),"Middle Aged",
AND(L453&lt;40,L453&gt;=30),"In the 30s",
L453&lt;30,"Below 30")</f>
        <v>Middle Aged</v>
      </c>
      <c r="N453" t="s">
        <v>18</v>
      </c>
    </row>
    <row r="454" spans="1:14" x14ac:dyDescent="0.25">
      <c r="A454">
        <v>20277</v>
      </c>
      <c r="B454" t="s">
        <v>36</v>
      </c>
      <c r="C454" t="s">
        <v>39</v>
      </c>
      <c r="D454" s="1">
        <v>30000</v>
      </c>
      <c r="E454" s="3">
        <v>2</v>
      </c>
      <c r="F454" t="s">
        <v>19</v>
      </c>
      <c r="G454" t="s">
        <v>20</v>
      </c>
      <c r="H454" t="s">
        <v>18</v>
      </c>
      <c r="I454" s="3">
        <v>2</v>
      </c>
      <c r="J454" t="s">
        <v>16</v>
      </c>
      <c r="K454" t="s">
        <v>24</v>
      </c>
      <c r="L454" s="3">
        <v>69</v>
      </c>
      <c r="M454" s="3" t="str" cm="1">
        <f t="array" ref="M454">_xlfn.IFS(
L454&gt;=65,"Retirement Age",
AND(L454&lt;65,L454&gt;=40),"Middle Aged",
AND(L454&lt;40,L454&gt;=30),"In the 30s",
L454&lt;30,"Below 30")</f>
        <v>Retirement Age</v>
      </c>
      <c r="N454" t="s">
        <v>18</v>
      </c>
    </row>
    <row r="455" spans="1:14" x14ac:dyDescent="0.25">
      <c r="A455">
        <v>26765</v>
      </c>
      <c r="B455" t="s">
        <v>37</v>
      </c>
      <c r="C455" t="s">
        <v>39</v>
      </c>
      <c r="D455" s="1">
        <v>70000</v>
      </c>
      <c r="E455" s="3">
        <v>5</v>
      </c>
      <c r="F455" t="s">
        <v>19</v>
      </c>
      <c r="G455" t="s">
        <v>14</v>
      </c>
      <c r="H455" t="s">
        <v>15</v>
      </c>
      <c r="I455" s="3">
        <v>2</v>
      </c>
      <c r="J455" t="s">
        <v>23</v>
      </c>
      <c r="K455" t="s">
        <v>24</v>
      </c>
      <c r="L455" s="3">
        <v>45</v>
      </c>
      <c r="M455" s="3" t="str" cm="1">
        <f t="array" ref="M455">_xlfn.IFS(
L455&gt;=65,"Retirement Age",
AND(L455&lt;65,L455&gt;=40),"Middle Aged",
AND(L455&lt;40,L455&gt;=30),"In the 30s",
L455&lt;30,"Below 30")</f>
        <v>Middle Aged</v>
      </c>
      <c r="N455" t="s">
        <v>18</v>
      </c>
    </row>
    <row r="456" spans="1:14" x14ac:dyDescent="0.25">
      <c r="A456">
        <v>12389</v>
      </c>
      <c r="B456" t="s">
        <v>37</v>
      </c>
      <c r="C456" t="s">
        <v>38</v>
      </c>
      <c r="D456" s="1">
        <v>30000</v>
      </c>
      <c r="E456" s="3">
        <v>0</v>
      </c>
      <c r="F456" t="s">
        <v>27</v>
      </c>
      <c r="G456" t="s">
        <v>25</v>
      </c>
      <c r="H456" t="s">
        <v>18</v>
      </c>
      <c r="I456" s="3">
        <v>1</v>
      </c>
      <c r="J456" t="s">
        <v>22</v>
      </c>
      <c r="K456" t="s">
        <v>17</v>
      </c>
      <c r="L456" s="3">
        <v>34</v>
      </c>
      <c r="M456" s="3" t="str" cm="1">
        <f t="array" ref="M456">_xlfn.IFS(
L456&gt;=65,"Retirement Age",
AND(L456&lt;65,L456&gt;=40),"Middle Aged",
AND(L456&lt;40,L456&gt;=30),"In the 30s",
L456&lt;30,"Below 30")</f>
        <v>In the 30s</v>
      </c>
      <c r="N456" t="s">
        <v>18</v>
      </c>
    </row>
    <row r="457" spans="1:14" x14ac:dyDescent="0.25">
      <c r="A457">
        <v>13585</v>
      </c>
      <c r="B457" t="s">
        <v>36</v>
      </c>
      <c r="C457" t="s">
        <v>39</v>
      </c>
      <c r="D457" s="1">
        <v>80000</v>
      </c>
      <c r="E457" s="3">
        <v>4</v>
      </c>
      <c r="F457" t="s">
        <v>19</v>
      </c>
      <c r="G457" t="s">
        <v>21</v>
      </c>
      <c r="H457" t="s">
        <v>18</v>
      </c>
      <c r="I457" s="3">
        <v>1</v>
      </c>
      <c r="J457" t="s">
        <v>22</v>
      </c>
      <c r="K457" t="s">
        <v>17</v>
      </c>
      <c r="L457" s="3">
        <v>53</v>
      </c>
      <c r="M457" s="3" t="str" cm="1">
        <f t="array" ref="M457">_xlfn.IFS(
L457&gt;=65,"Retirement Age",
AND(L457&lt;65,L457&gt;=40),"Middle Aged",
AND(L457&lt;40,L457&gt;=30),"In the 30s",
L457&lt;30,"Below 30")</f>
        <v>Middle Aged</v>
      </c>
      <c r="N457" t="s">
        <v>15</v>
      </c>
    </row>
    <row r="458" spans="1:14" x14ac:dyDescent="0.25">
      <c r="A458">
        <v>26385</v>
      </c>
      <c r="B458" t="s">
        <v>37</v>
      </c>
      <c r="C458" t="s">
        <v>38</v>
      </c>
      <c r="D458" s="1">
        <v>120000</v>
      </c>
      <c r="E458" s="3">
        <v>3</v>
      </c>
      <c r="F458" t="s">
        <v>27</v>
      </c>
      <c r="G458" t="s">
        <v>21</v>
      </c>
      <c r="H458" t="s">
        <v>18</v>
      </c>
      <c r="I458" s="3">
        <v>4</v>
      </c>
      <c r="J458" t="s">
        <v>23</v>
      </c>
      <c r="K458" t="s">
        <v>17</v>
      </c>
      <c r="L458" s="3">
        <v>50</v>
      </c>
      <c r="M458" s="3" t="str" cm="1">
        <f t="array" ref="M458">_xlfn.IFS(
L458&gt;=65,"Retirement Age",
AND(L458&lt;65,L458&gt;=40),"Middle Aged",
AND(L458&lt;40,L458&gt;=30),"In the 30s",
L458&lt;30,"Below 30")</f>
        <v>Middle Aged</v>
      </c>
      <c r="N458" t="s">
        <v>18</v>
      </c>
    </row>
    <row r="459" spans="1:14" x14ac:dyDescent="0.25">
      <c r="A459">
        <v>12236</v>
      </c>
      <c r="B459" t="s">
        <v>36</v>
      </c>
      <c r="C459" t="s">
        <v>39</v>
      </c>
      <c r="D459" s="1">
        <v>20000</v>
      </c>
      <c r="E459" s="3">
        <v>1</v>
      </c>
      <c r="F459" t="s">
        <v>19</v>
      </c>
      <c r="G459" t="s">
        <v>25</v>
      </c>
      <c r="H459" t="s">
        <v>15</v>
      </c>
      <c r="I459" s="3">
        <v>0</v>
      </c>
      <c r="J459" t="s">
        <v>16</v>
      </c>
      <c r="K459" t="s">
        <v>17</v>
      </c>
      <c r="L459" s="3">
        <v>65</v>
      </c>
      <c r="M459" s="3" t="str" cm="1">
        <f t="array" ref="M459">_xlfn.IFS(
L459&gt;=65,"Retirement Age",
AND(L459&lt;65,L459&gt;=40),"Middle Aged",
AND(L459&lt;40,L459&gt;=30),"In the 30s",
L459&lt;30,"Below 30")</f>
        <v>Retirement Age</v>
      </c>
      <c r="N459" t="s">
        <v>18</v>
      </c>
    </row>
    <row r="460" spans="1:14" x14ac:dyDescent="0.25">
      <c r="A460">
        <v>21560</v>
      </c>
      <c r="B460" t="s">
        <v>36</v>
      </c>
      <c r="C460" t="s">
        <v>38</v>
      </c>
      <c r="D460" s="1">
        <v>120000</v>
      </c>
      <c r="E460" s="3">
        <v>0</v>
      </c>
      <c r="F460" t="s">
        <v>29</v>
      </c>
      <c r="G460" t="s">
        <v>21</v>
      </c>
      <c r="H460" t="s">
        <v>15</v>
      </c>
      <c r="I460" s="3">
        <v>4</v>
      </c>
      <c r="J460" t="s">
        <v>45</v>
      </c>
      <c r="K460" t="s">
        <v>24</v>
      </c>
      <c r="L460" s="3">
        <v>32</v>
      </c>
      <c r="M460" s="3" t="str" cm="1">
        <f t="array" ref="M460">_xlfn.IFS(
L460&gt;=65,"Retirement Age",
AND(L460&lt;65,L460&gt;=40),"Middle Aged",
AND(L460&lt;40,L460&gt;=30),"In the 30s",
L460&lt;30,"Below 30")</f>
        <v>In the 30s</v>
      </c>
      <c r="N460" t="s">
        <v>15</v>
      </c>
    </row>
    <row r="461" spans="1:14" x14ac:dyDescent="0.25">
      <c r="A461">
        <v>21554</v>
      </c>
      <c r="B461" t="s">
        <v>37</v>
      </c>
      <c r="C461" t="s">
        <v>39</v>
      </c>
      <c r="D461" s="1">
        <v>80000</v>
      </c>
      <c r="E461" s="3">
        <v>0</v>
      </c>
      <c r="F461" t="s">
        <v>13</v>
      </c>
      <c r="G461" t="s">
        <v>21</v>
      </c>
      <c r="H461" t="s">
        <v>18</v>
      </c>
      <c r="I461" s="3">
        <v>3</v>
      </c>
      <c r="J461" t="s">
        <v>45</v>
      </c>
      <c r="K461" t="s">
        <v>24</v>
      </c>
      <c r="L461" s="3">
        <v>33</v>
      </c>
      <c r="M461" s="3" t="str" cm="1">
        <f t="array" ref="M461">_xlfn.IFS(
L461&gt;=65,"Retirement Age",
AND(L461&lt;65,L461&gt;=40),"Middle Aged",
AND(L461&lt;40,L461&gt;=30),"In the 30s",
L461&lt;30,"Below 30")</f>
        <v>In the 30s</v>
      </c>
      <c r="N461" t="s">
        <v>18</v>
      </c>
    </row>
    <row r="462" spans="1:14" x14ac:dyDescent="0.25">
      <c r="A462">
        <v>13662</v>
      </c>
      <c r="B462" t="s">
        <v>37</v>
      </c>
      <c r="C462" t="s">
        <v>38</v>
      </c>
      <c r="D462" s="1">
        <v>20000</v>
      </c>
      <c r="E462" s="3">
        <v>0</v>
      </c>
      <c r="F462" t="s">
        <v>29</v>
      </c>
      <c r="G462" t="s">
        <v>25</v>
      </c>
      <c r="H462" t="s">
        <v>15</v>
      </c>
      <c r="I462" s="3">
        <v>2</v>
      </c>
      <c r="J462" t="s">
        <v>26</v>
      </c>
      <c r="K462" t="s">
        <v>17</v>
      </c>
      <c r="L462" s="3">
        <v>31</v>
      </c>
      <c r="M462" s="3" t="str" cm="1">
        <f t="array" ref="M462">_xlfn.IFS(
L462&gt;=65,"Retirement Age",
AND(L462&lt;65,L462&gt;=40),"Middle Aged",
AND(L462&lt;40,L462&gt;=30),"In the 30s",
L462&lt;30,"Below 30")</f>
        <v>In the 30s</v>
      </c>
      <c r="N462" t="s">
        <v>15</v>
      </c>
    </row>
    <row r="463" spans="1:14" x14ac:dyDescent="0.25">
      <c r="A463">
        <v>13089</v>
      </c>
      <c r="B463" t="s">
        <v>36</v>
      </c>
      <c r="C463" t="s">
        <v>39</v>
      </c>
      <c r="D463" s="1">
        <v>120000</v>
      </c>
      <c r="E463" s="3">
        <v>1</v>
      </c>
      <c r="F463" t="s">
        <v>13</v>
      </c>
      <c r="G463" t="s">
        <v>28</v>
      </c>
      <c r="H463" t="s">
        <v>15</v>
      </c>
      <c r="I463" s="3">
        <v>2</v>
      </c>
      <c r="J463" t="s">
        <v>16</v>
      </c>
      <c r="K463" t="s">
        <v>24</v>
      </c>
      <c r="L463" s="3">
        <v>46</v>
      </c>
      <c r="M463" s="3" t="str" cm="1">
        <f t="array" ref="M463">_xlfn.IFS(
L463&gt;=65,"Retirement Age",
AND(L463&lt;65,L463&gt;=40),"Middle Aged",
AND(L463&lt;40,L463&gt;=30),"In the 30s",
L463&lt;30,"Below 30")</f>
        <v>Middle Aged</v>
      </c>
      <c r="N463" t="s">
        <v>15</v>
      </c>
    </row>
    <row r="464" spans="1:14" x14ac:dyDescent="0.25">
      <c r="A464">
        <v>14791</v>
      </c>
      <c r="B464" t="s">
        <v>36</v>
      </c>
      <c r="C464" t="s">
        <v>39</v>
      </c>
      <c r="D464" s="1">
        <v>40000</v>
      </c>
      <c r="E464" s="3">
        <v>0</v>
      </c>
      <c r="F464" t="s">
        <v>13</v>
      </c>
      <c r="G464" t="s">
        <v>20</v>
      </c>
      <c r="H464" t="s">
        <v>15</v>
      </c>
      <c r="I464" s="3">
        <v>0</v>
      </c>
      <c r="J464" t="s">
        <v>16</v>
      </c>
      <c r="K464" t="s">
        <v>17</v>
      </c>
      <c r="L464" s="3">
        <v>39</v>
      </c>
      <c r="M464" s="3" t="str" cm="1">
        <f t="array" ref="M464">_xlfn.IFS(
L464&gt;=65,"Retirement Age",
AND(L464&lt;65,L464&gt;=40),"Middle Aged",
AND(L464&lt;40,L464&gt;=30),"In the 30s",
L464&lt;30,"Below 30")</f>
        <v>In the 30s</v>
      </c>
      <c r="N464" t="s">
        <v>15</v>
      </c>
    </row>
    <row r="465" spans="1:14" x14ac:dyDescent="0.25">
      <c r="A465">
        <v>19331</v>
      </c>
      <c r="B465" t="s">
        <v>37</v>
      </c>
      <c r="C465" t="s">
        <v>38</v>
      </c>
      <c r="D465" s="1">
        <v>20000</v>
      </c>
      <c r="E465" s="3">
        <v>2</v>
      </c>
      <c r="F465" t="s">
        <v>27</v>
      </c>
      <c r="G465" t="s">
        <v>25</v>
      </c>
      <c r="H465" t="s">
        <v>15</v>
      </c>
      <c r="I465" s="3">
        <v>1</v>
      </c>
      <c r="J465" t="s">
        <v>16</v>
      </c>
      <c r="K465" t="s">
        <v>17</v>
      </c>
      <c r="L465" s="3">
        <v>40</v>
      </c>
      <c r="M465" s="3" t="str" cm="1">
        <f t="array" ref="M465">_xlfn.IFS(
L465&gt;=65,"Retirement Age",
AND(L465&lt;65,L465&gt;=40),"Middle Aged",
AND(L465&lt;40,L465&gt;=30),"In the 30s",
L465&lt;30,"Below 30")</f>
        <v>Middle Aged</v>
      </c>
      <c r="N465" t="s">
        <v>18</v>
      </c>
    </row>
    <row r="466" spans="1:14" x14ac:dyDescent="0.25">
      <c r="A466">
        <v>17754</v>
      </c>
      <c r="B466" t="s">
        <v>37</v>
      </c>
      <c r="C466" t="s">
        <v>39</v>
      </c>
      <c r="D466" s="1">
        <v>30000</v>
      </c>
      <c r="E466" s="3">
        <v>3</v>
      </c>
      <c r="F466" t="s">
        <v>13</v>
      </c>
      <c r="G466" t="s">
        <v>20</v>
      </c>
      <c r="H466" t="s">
        <v>15</v>
      </c>
      <c r="I466" s="3">
        <v>0</v>
      </c>
      <c r="J466" t="s">
        <v>16</v>
      </c>
      <c r="K466" t="s">
        <v>17</v>
      </c>
      <c r="L466" s="3">
        <v>46</v>
      </c>
      <c r="M466" s="3" t="str" cm="1">
        <f t="array" ref="M466">_xlfn.IFS(
L466&gt;=65,"Retirement Age",
AND(L466&lt;65,L466&gt;=40),"Middle Aged",
AND(L466&lt;40,L466&gt;=30),"In the 30s",
L466&lt;30,"Below 30")</f>
        <v>Middle Aged</v>
      </c>
      <c r="N466" t="s">
        <v>15</v>
      </c>
    </row>
    <row r="467" spans="1:14" x14ac:dyDescent="0.25">
      <c r="A467">
        <v>11149</v>
      </c>
      <c r="B467" t="s">
        <v>36</v>
      </c>
      <c r="C467" t="s">
        <v>38</v>
      </c>
      <c r="D467" s="1">
        <v>40000</v>
      </c>
      <c r="E467" s="3">
        <v>2</v>
      </c>
      <c r="F467" t="s">
        <v>13</v>
      </c>
      <c r="G467" t="s">
        <v>28</v>
      </c>
      <c r="H467" t="s">
        <v>15</v>
      </c>
      <c r="I467" s="3">
        <v>2</v>
      </c>
      <c r="J467" t="s">
        <v>16</v>
      </c>
      <c r="K467" t="s">
        <v>24</v>
      </c>
      <c r="L467" s="3">
        <v>65</v>
      </c>
      <c r="M467" s="3" t="str" cm="1">
        <f t="array" ref="M467">_xlfn.IFS(
L467&gt;=65,"Retirement Age",
AND(L467&lt;65,L467&gt;=40),"Middle Aged",
AND(L467&lt;40,L467&gt;=30),"In the 30s",
L467&lt;30,"Below 30")</f>
        <v>Retirement Age</v>
      </c>
      <c r="N467" t="s">
        <v>18</v>
      </c>
    </row>
    <row r="468" spans="1:14" x14ac:dyDescent="0.25">
      <c r="A468">
        <v>16549</v>
      </c>
      <c r="B468" t="s">
        <v>37</v>
      </c>
      <c r="C468" t="s">
        <v>39</v>
      </c>
      <c r="D468" s="1">
        <v>30000</v>
      </c>
      <c r="E468" s="3">
        <v>3</v>
      </c>
      <c r="F468" t="s">
        <v>13</v>
      </c>
      <c r="G468" t="s">
        <v>20</v>
      </c>
      <c r="H468" t="s">
        <v>15</v>
      </c>
      <c r="I468" s="3">
        <v>0</v>
      </c>
      <c r="J468" t="s">
        <v>16</v>
      </c>
      <c r="K468" t="s">
        <v>17</v>
      </c>
      <c r="L468" s="3">
        <v>47</v>
      </c>
      <c r="M468" s="3" t="str" cm="1">
        <f t="array" ref="M468">_xlfn.IFS(
L468&gt;=65,"Retirement Age",
AND(L468&lt;65,L468&gt;=40),"Middle Aged",
AND(L468&lt;40,L468&gt;=30),"In the 30s",
L468&lt;30,"Below 30")</f>
        <v>Middle Aged</v>
      </c>
      <c r="N468" t="s">
        <v>15</v>
      </c>
    </row>
    <row r="469" spans="1:14" x14ac:dyDescent="0.25">
      <c r="A469">
        <v>24305</v>
      </c>
      <c r="B469" t="s">
        <v>37</v>
      </c>
      <c r="C469" t="s">
        <v>38</v>
      </c>
      <c r="D469" s="1">
        <v>100000</v>
      </c>
      <c r="E469" s="3">
        <v>1</v>
      </c>
      <c r="F469" t="s">
        <v>13</v>
      </c>
      <c r="G469" t="s">
        <v>28</v>
      </c>
      <c r="H469" t="s">
        <v>18</v>
      </c>
      <c r="I469" s="3">
        <v>3</v>
      </c>
      <c r="J469" t="s">
        <v>16</v>
      </c>
      <c r="K469" t="s">
        <v>24</v>
      </c>
      <c r="L469" s="3">
        <v>46</v>
      </c>
      <c r="M469" s="3" t="str" cm="1">
        <f t="array" ref="M469">_xlfn.IFS(
L469&gt;=65,"Retirement Age",
AND(L469&lt;65,L469&gt;=40),"Middle Aged",
AND(L469&lt;40,L469&gt;=30),"In the 30s",
L469&lt;30,"Below 30")</f>
        <v>Middle Aged</v>
      </c>
      <c r="N469" t="s">
        <v>15</v>
      </c>
    </row>
    <row r="470" spans="1:14" x14ac:dyDescent="0.25">
      <c r="A470">
        <v>18253</v>
      </c>
      <c r="B470" t="s">
        <v>36</v>
      </c>
      <c r="C470" t="s">
        <v>39</v>
      </c>
      <c r="D470" s="1">
        <v>80000</v>
      </c>
      <c r="E470" s="3">
        <v>5</v>
      </c>
      <c r="F470" t="s">
        <v>31</v>
      </c>
      <c r="G470" t="s">
        <v>28</v>
      </c>
      <c r="H470" t="s">
        <v>15</v>
      </c>
      <c r="I470" s="3">
        <v>3</v>
      </c>
      <c r="J470" t="s">
        <v>16</v>
      </c>
      <c r="K470" t="s">
        <v>24</v>
      </c>
      <c r="L470" s="3">
        <v>40</v>
      </c>
      <c r="M470" s="3" t="str" cm="1">
        <f t="array" ref="M470">_xlfn.IFS(
L470&gt;=65,"Retirement Age",
AND(L470&lt;65,L470&gt;=40),"Middle Aged",
AND(L470&lt;40,L470&gt;=30),"In the 30s",
L470&lt;30,"Below 30")</f>
        <v>Middle Aged</v>
      </c>
      <c r="N470" t="s">
        <v>18</v>
      </c>
    </row>
    <row r="471" spans="1:14" x14ac:dyDescent="0.25">
      <c r="A471">
        <v>20147</v>
      </c>
      <c r="B471" t="s">
        <v>36</v>
      </c>
      <c r="C471" t="s">
        <v>39</v>
      </c>
      <c r="D471" s="1">
        <v>30000</v>
      </c>
      <c r="E471" s="3">
        <v>1</v>
      </c>
      <c r="F471" t="s">
        <v>13</v>
      </c>
      <c r="G471" t="s">
        <v>20</v>
      </c>
      <c r="H471" t="s">
        <v>15</v>
      </c>
      <c r="I471" s="3">
        <v>0</v>
      </c>
      <c r="J471" t="s">
        <v>16</v>
      </c>
      <c r="K471" t="s">
        <v>17</v>
      </c>
      <c r="L471" s="3">
        <v>65</v>
      </c>
      <c r="M471" s="3" t="str" cm="1">
        <f t="array" ref="M471">_xlfn.IFS(
L471&gt;=65,"Retirement Age",
AND(L471&lt;65,L471&gt;=40),"Middle Aged",
AND(L471&lt;40,L471&gt;=30),"In the 30s",
L471&lt;30,"Below 30")</f>
        <v>Retirement Age</v>
      </c>
      <c r="N471" t="s">
        <v>18</v>
      </c>
    </row>
    <row r="472" spans="1:14" x14ac:dyDescent="0.25">
      <c r="A472">
        <v>15612</v>
      </c>
      <c r="B472" t="s">
        <v>37</v>
      </c>
      <c r="C472" t="s">
        <v>38</v>
      </c>
      <c r="D472" s="1">
        <v>30000</v>
      </c>
      <c r="E472" s="3">
        <v>0</v>
      </c>
      <c r="F472" t="s">
        <v>27</v>
      </c>
      <c r="G472" t="s">
        <v>25</v>
      </c>
      <c r="H472" t="s">
        <v>18</v>
      </c>
      <c r="I472" s="3">
        <v>1</v>
      </c>
      <c r="J472" t="s">
        <v>26</v>
      </c>
      <c r="K472" t="s">
        <v>17</v>
      </c>
      <c r="L472" s="3">
        <v>28</v>
      </c>
      <c r="M472" s="3" t="str" cm="1">
        <f t="array" ref="M472">_xlfn.IFS(
L472&gt;=65,"Retirement Age",
AND(L472&lt;65,L472&gt;=40),"Middle Aged",
AND(L472&lt;40,L472&gt;=30),"In the 30s",
L472&lt;30,"Below 30")</f>
        <v>Below 30</v>
      </c>
      <c r="N472" t="s">
        <v>18</v>
      </c>
    </row>
    <row r="473" spans="1:14" x14ac:dyDescent="0.25">
      <c r="A473">
        <v>28323</v>
      </c>
      <c r="B473" t="s">
        <v>37</v>
      </c>
      <c r="C473" t="s">
        <v>38</v>
      </c>
      <c r="D473" s="1">
        <v>70000</v>
      </c>
      <c r="E473" s="3">
        <v>0</v>
      </c>
      <c r="F473" t="s">
        <v>13</v>
      </c>
      <c r="G473" t="s">
        <v>21</v>
      </c>
      <c r="H473" t="s">
        <v>18</v>
      </c>
      <c r="I473" s="3">
        <v>2</v>
      </c>
      <c r="J473" t="s">
        <v>23</v>
      </c>
      <c r="K473" t="s">
        <v>24</v>
      </c>
      <c r="L473" s="3">
        <v>43</v>
      </c>
      <c r="M473" s="3" t="str" cm="1">
        <f t="array" ref="M473">_xlfn.IFS(
L473&gt;=65,"Retirement Age",
AND(L473&lt;65,L473&gt;=40),"Middle Aged",
AND(L473&lt;40,L473&gt;=30),"In the 30s",
L473&lt;30,"Below 30")</f>
        <v>Middle Aged</v>
      </c>
      <c r="N473" t="s">
        <v>15</v>
      </c>
    </row>
    <row r="474" spans="1:14" x14ac:dyDescent="0.25">
      <c r="A474">
        <v>22634</v>
      </c>
      <c r="B474" t="s">
        <v>37</v>
      </c>
      <c r="C474" t="s">
        <v>39</v>
      </c>
      <c r="D474" s="1">
        <v>40000</v>
      </c>
      <c r="E474" s="3">
        <v>0</v>
      </c>
      <c r="F474" t="s">
        <v>31</v>
      </c>
      <c r="G474" t="s">
        <v>20</v>
      </c>
      <c r="H474" t="s">
        <v>15</v>
      </c>
      <c r="I474" s="3">
        <v>0</v>
      </c>
      <c r="J474" t="s">
        <v>16</v>
      </c>
      <c r="K474" t="s">
        <v>17</v>
      </c>
      <c r="L474" s="3">
        <v>38</v>
      </c>
      <c r="M474" s="3" t="str" cm="1">
        <f t="array" ref="M474">_xlfn.IFS(
L474&gt;=65,"Retirement Age",
AND(L474&lt;65,L474&gt;=40),"Middle Aged",
AND(L474&lt;40,L474&gt;=30),"In the 30s",
L474&lt;30,"Below 30")</f>
        <v>In the 30s</v>
      </c>
      <c r="N474" t="s">
        <v>15</v>
      </c>
    </row>
    <row r="475" spans="1:14" x14ac:dyDescent="0.25">
      <c r="A475">
        <v>15665</v>
      </c>
      <c r="B475" t="s">
        <v>36</v>
      </c>
      <c r="C475" t="s">
        <v>39</v>
      </c>
      <c r="D475" s="1">
        <v>30000</v>
      </c>
      <c r="E475" s="3">
        <v>0</v>
      </c>
      <c r="F475" t="s">
        <v>13</v>
      </c>
      <c r="G475" t="s">
        <v>20</v>
      </c>
      <c r="H475" t="s">
        <v>15</v>
      </c>
      <c r="I475" s="3">
        <v>0</v>
      </c>
      <c r="J475" t="s">
        <v>16</v>
      </c>
      <c r="K475" t="s">
        <v>17</v>
      </c>
      <c r="L475" s="3">
        <v>47</v>
      </c>
      <c r="M475" s="3" t="str" cm="1">
        <f t="array" ref="M475">_xlfn.IFS(
L475&gt;=65,"Retirement Age",
AND(L475&lt;65,L475&gt;=40),"Middle Aged",
AND(L475&lt;40,L475&gt;=30),"In the 30s",
L475&lt;30,"Below 30")</f>
        <v>Middle Aged</v>
      </c>
      <c r="N475" t="s">
        <v>15</v>
      </c>
    </row>
    <row r="476" spans="1:14" x14ac:dyDescent="0.25">
      <c r="A476">
        <v>27585</v>
      </c>
      <c r="B476" t="s">
        <v>36</v>
      </c>
      <c r="C476" t="s">
        <v>39</v>
      </c>
      <c r="D476" s="1">
        <v>90000</v>
      </c>
      <c r="E476" s="3">
        <v>2</v>
      </c>
      <c r="F476" t="s">
        <v>13</v>
      </c>
      <c r="G476" t="s">
        <v>21</v>
      </c>
      <c r="H476" t="s">
        <v>18</v>
      </c>
      <c r="I476" s="3">
        <v>0</v>
      </c>
      <c r="J476" t="s">
        <v>16</v>
      </c>
      <c r="K476" t="s">
        <v>24</v>
      </c>
      <c r="L476" s="3">
        <v>36</v>
      </c>
      <c r="M476" s="3" t="str" cm="1">
        <f t="array" ref="M476">_xlfn.IFS(
L476&gt;=65,"Retirement Age",
AND(L476&lt;65,L476&gt;=40),"Middle Aged",
AND(L476&lt;40,L476&gt;=30),"In the 30s",
L476&lt;30,"Below 30")</f>
        <v>In the 30s</v>
      </c>
      <c r="N476" t="s">
        <v>15</v>
      </c>
    </row>
    <row r="477" spans="1:14" x14ac:dyDescent="0.25">
      <c r="A477">
        <v>19748</v>
      </c>
      <c r="B477" t="s">
        <v>36</v>
      </c>
      <c r="C477" t="s">
        <v>38</v>
      </c>
      <c r="D477" s="1">
        <v>20000</v>
      </c>
      <c r="E477" s="3">
        <v>4</v>
      </c>
      <c r="F477" t="s">
        <v>27</v>
      </c>
      <c r="G477" t="s">
        <v>14</v>
      </c>
      <c r="H477" t="s">
        <v>18</v>
      </c>
      <c r="I477" s="3">
        <v>2</v>
      </c>
      <c r="J477" t="s">
        <v>26</v>
      </c>
      <c r="K477" t="s">
        <v>24</v>
      </c>
      <c r="L477" s="3">
        <v>60</v>
      </c>
      <c r="M477" s="3" t="str" cm="1">
        <f t="array" ref="M477">_xlfn.IFS(
L477&gt;=65,"Retirement Age",
AND(L477&lt;65,L477&gt;=40),"Middle Aged",
AND(L477&lt;40,L477&gt;=30),"In the 30s",
L477&lt;30,"Below 30")</f>
        <v>Middle Aged</v>
      </c>
      <c r="N477" t="s">
        <v>18</v>
      </c>
    </row>
    <row r="478" spans="1:14" x14ac:dyDescent="0.25">
      <c r="A478">
        <v>21974</v>
      </c>
      <c r="B478" t="s">
        <v>37</v>
      </c>
      <c r="C478" t="s">
        <v>39</v>
      </c>
      <c r="D478" s="1">
        <v>70000</v>
      </c>
      <c r="E478" s="3">
        <v>0</v>
      </c>
      <c r="F478" t="s">
        <v>13</v>
      </c>
      <c r="G478" t="s">
        <v>21</v>
      </c>
      <c r="H478" t="s">
        <v>15</v>
      </c>
      <c r="I478" s="3">
        <v>1</v>
      </c>
      <c r="J478" t="s">
        <v>23</v>
      </c>
      <c r="K478" t="s">
        <v>24</v>
      </c>
      <c r="L478" s="3">
        <v>42</v>
      </c>
      <c r="M478" s="3" t="str" cm="1">
        <f t="array" ref="M478">_xlfn.IFS(
L478&gt;=65,"Retirement Age",
AND(L478&lt;65,L478&gt;=40),"Middle Aged",
AND(L478&lt;40,L478&gt;=30),"In the 30s",
L478&lt;30,"Below 30")</f>
        <v>Middle Aged</v>
      </c>
      <c r="N478" t="s">
        <v>15</v>
      </c>
    </row>
    <row r="479" spans="1:14" x14ac:dyDescent="0.25">
      <c r="A479">
        <v>14032</v>
      </c>
      <c r="B479" t="s">
        <v>36</v>
      </c>
      <c r="C479" t="s">
        <v>38</v>
      </c>
      <c r="D479" s="1">
        <v>70000</v>
      </c>
      <c r="E479" s="3">
        <v>2</v>
      </c>
      <c r="F479" t="s">
        <v>27</v>
      </c>
      <c r="G479" t="s">
        <v>14</v>
      </c>
      <c r="H479" t="s">
        <v>18</v>
      </c>
      <c r="I479" s="3">
        <v>2</v>
      </c>
      <c r="J479" t="s">
        <v>26</v>
      </c>
      <c r="K479" t="s">
        <v>24</v>
      </c>
      <c r="L479" s="3">
        <v>50</v>
      </c>
      <c r="M479" s="3" t="str" cm="1">
        <f t="array" ref="M479">_xlfn.IFS(
L479&gt;=65,"Retirement Age",
AND(L479&lt;65,L479&gt;=40),"Middle Aged",
AND(L479&lt;40,L479&gt;=30),"In the 30s",
L479&lt;30,"Below 30")</f>
        <v>Middle Aged</v>
      </c>
      <c r="N479" t="s">
        <v>15</v>
      </c>
    </row>
    <row r="480" spans="1:14" x14ac:dyDescent="0.25">
      <c r="A480">
        <v>22610</v>
      </c>
      <c r="B480" t="s">
        <v>36</v>
      </c>
      <c r="C480" t="s">
        <v>38</v>
      </c>
      <c r="D480" s="1">
        <v>30000</v>
      </c>
      <c r="E480" s="3">
        <v>0</v>
      </c>
      <c r="F480" t="s">
        <v>13</v>
      </c>
      <c r="G480" t="s">
        <v>20</v>
      </c>
      <c r="H480" t="s">
        <v>15</v>
      </c>
      <c r="I480" s="3">
        <v>0</v>
      </c>
      <c r="J480" t="s">
        <v>16</v>
      </c>
      <c r="K480" t="s">
        <v>17</v>
      </c>
      <c r="L480" s="3">
        <v>35</v>
      </c>
      <c r="M480" s="3" t="str" cm="1">
        <f t="array" ref="M480">_xlfn.IFS(
L480&gt;=65,"Retirement Age",
AND(L480&lt;65,L480&gt;=40),"Middle Aged",
AND(L480&lt;40,L480&gt;=30),"In the 30s",
L480&lt;30,"Below 30")</f>
        <v>In the 30s</v>
      </c>
      <c r="N480" t="s">
        <v>15</v>
      </c>
    </row>
    <row r="481" spans="1:14" x14ac:dyDescent="0.25">
      <c r="A481">
        <v>26984</v>
      </c>
      <c r="B481" t="s">
        <v>36</v>
      </c>
      <c r="C481" t="s">
        <v>38</v>
      </c>
      <c r="D481" s="1">
        <v>40000</v>
      </c>
      <c r="E481" s="3">
        <v>1</v>
      </c>
      <c r="F481" t="s">
        <v>13</v>
      </c>
      <c r="G481" t="s">
        <v>14</v>
      </c>
      <c r="H481" t="s">
        <v>15</v>
      </c>
      <c r="I481" s="3">
        <v>1</v>
      </c>
      <c r="J481" t="s">
        <v>16</v>
      </c>
      <c r="K481" t="s">
        <v>17</v>
      </c>
      <c r="L481" s="3">
        <v>32</v>
      </c>
      <c r="M481" s="3" t="str" cm="1">
        <f t="array" ref="M481">_xlfn.IFS(
L481&gt;=65,"Retirement Age",
AND(L481&lt;65,L481&gt;=40),"Middle Aged",
AND(L481&lt;40,L481&gt;=30),"In the 30s",
L481&lt;30,"Below 30")</f>
        <v>In the 30s</v>
      </c>
      <c r="N481" t="s">
        <v>15</v>
      </c>
    </row>
    <row r="482" spans="1:14" x14ac:dyDescent="0.25">
      <c r="A482">
        <v>18294</v>
      </c>
      <c r="B482" t="s">
        <v>36</v>
      </c>
      <c r="C482" t="s">
        <v>39</v>
      </c>
      <c r="D482" s="1">
        <v>90000</v>
      </c>
      <c r="E482" s="3">
        <v>1</v>
      </c>
      <c r="F482" t="s">
        <v>13</v>
      </c>
      <c r="G482" t="s">
        <v>21</v>
      </c>
      <c r="H482" t="s">
        <v>15</v>
      </c>
      <c r="I482" s="3">
        <v>1</v>
      </c>
      <c r="J482" t="s">
        <v>23</v>
      </c>
      <c r="K482" t="s">
        <v>24</v>
      </c>
      <c r="L482" s="3">
        <v>46</v>
      </c>
      <c r="M482" s="3" t="str" cm="1">
        <f t="array" ref="M482">_xlfn.IFS(
L482&gt;=65,"Retirement Age",
AND(L482&lt;65,L482&gt;=40),"Middle Aged",
AND(L482&lt;40,L482&gt;=30),"In the 30s",
L482&lt;30,"Below 30")</f>
        <v>Middle Aged</v>
      </c>
      <c r="N482" t="s">
        <v>18</v>
      </c>
    </row>
    <row r="483" spans="1:14" x14ac:dyDescent="0.25">
      <c r="A483">
        <v>28564</v>
      </c>
      <c r="B483" t="s">
        <v>37</v>
      </c>
      <c r="C483" t="s">
        <v>39</v>
      </c>
      <c r="D483" s="1">
        <v>40000</v>
      </c>
      <c r="E483" s="3">
        <v>2</v>
      </c>
      <c r="F483" t="s">
        <v>19</v>
      </c>
      <c r="G483" t="s">
        <v>20</v>
      </c>
      <c r="H483" t="s">
        <v>15</v>
      </c>
      <c r="I483" s="3">
        <v>0</v>
      </c>
      <c r="J483" t="s">
        <v>26</v>
      </c>
      <c r="K483" t="s">
        <v>17</v>
      </c>
      <c r="L483" s="3">
        <v>33</v>
      </c>
      <c r="M483" s="3" t="str" cm="1">
        <f t="array" ref="M483">_xlfn.IFS(
L483&gt;=65,"Retirement Age",
AND(L483&lt;65,L483&gt;=40),"Middle Aged",
AND(L483&lt;40,L483&gt;=30),"In the 30s",
L483&lt;30,"Below 30")</f>
        <v>In the 30s</v>
      </c>
      <c r="N483" t="s">
        <v>15</v>
      </c>
    </row>
    <row r="484" spans="1:14" x14ac:dyDescent="0.25">
      <c r="A484">
        <v>28521</v>
      </c>
      <c r="B484" t="s">
        <v>37</v>
      </c>
      <c r="C484" t="s">
        <v>38</v>
      </c>
      <c r="D484" s="1">
        <v>40000</v>
      </c>
      <c r="E484" s="3">
        <v>0</v>
      </c>
      <c r="F484" t="s">
        <v>31</v>
      </c>
      <c r="G484" t="s">
        <v>20</v>
      </c>
      <c r="H484" t="s">
        <v>18</v>
      </c>
      <c r="I484" s="3">
        <v>0</v>
      </c>
      <c r="J484" t="s">
        <v>16</v>
      </c>
      <c r="K484" t="s">
        <v>17</v>
      </c>
      <c r="L484" s="3">
        <v>36</v>
      </c>
      <c r="M484" s="3" t="str" cm="1">
        <f t="array" ref="M484">_xlfn.IFS(
L484&gt;=65,"Retirement Age",
AND(L484&lt;65,L484&gt;=40),"Middle Aged",
AND(L484&lt;40,L484&gt;=30),"In the 30s",
L484&lt;30,"Below 30")</f>
        <v>In the 30s</v>
      </c>
      <c r="N484" t="s">
        <v>15</v>
      </c>
    </row>
    <row r="485" spans="1:14" x14ac:dyDescent="0.25">
      <c r="A485">
        <v>15450</v>
      </c>
      <c r="B485" t="s">
        <v>36</v>
      </c>
      <c r="C485" t="s">
        <v>38</v>
      </c>
      <c r="D485" s="1">
        <v>10000</v>
      </c>
      <c r="E485" s="3">
        <v>1</v>
      </c>
      <c r="F485" t="s">
        <v>31</v>
      </c>
      <c r="G485" t="s">
        <v>20</v>
      </c>
      <c r="H485" t="s">
        <v>15</v>
      </c>
      <c r="I485" s="3">
        <v>0</v>
      </c>
      <c r="J485" t="s">
        <v>16</v>
      </c>
      <c r="K485" t="s">
        <v>17</v>
      </c>
      <c r="L485" s="3">
        <v>70</v>
      </c>
      <c r="M485" s="3" t="str" cm="1">
        <f t="array" ref="M485">_xlfn.IFS(
L485&gt;=65,"Retirement Age",
AND(L485&lt;65,L485&gt;=40),"Middle Aged",
AND(L485&lt;40,L485&gt;=30),"In the 30s",
L485&lt;30,"Below 30")</f>
        <v>Retirement Age</v>
      </c>
      <c r="N485" t="s">
        <v>18</v>
      </c>
    </row>
    <row r="486" spans="1:14" x14ac:dyDescent="0.25">
      <c r="A486">
        <v>25681</v>
      </c>
      <c r="B486" t="s">
        <v>37</v>
      </c>
      <c r="C486" t="s">
        <v>39</v>
      </c>
      <c r="D486" s="1">
        <v>30000</v>
      </c>
      <c r="E486" s="3">
        <v>0</v>
      </c>
      <c r="F486" t="s">
        <v>19</v>
      </c>
      <c r="G486" t="s">
        <v>20</v>
      </c>
      <c r="H486" t="s">
        <v>18</v>
      </c>
      <c r="I486" s="3">
        <v>1</v>
      </c>
      <c r="J486" t="s">
        <v>22</v>
      </c>
      <c r="K486" t="s">
        <v>17</v>
      </c>
      <c r="L486" s="3">
        <v>31</v>
      </c>
      <c r="M486" s="3" t="str" cm="1">
        <f t="array" ref="M486">_xlfn.IFS(
L486&gt;=65,"Retirement Age",
AND(L486&lt;65,L486&gt;=40),"Middle Aged",
AND(L486&lt;40,L486&gt;=30),"In the 30s",
L486&lt;30,"Below 30")</f>
        <v>In the 30s</v>
      </c>
      <c r="N486" t="s">
        <v>15</v>
      </c>
    </row>
    <row r="487" spans="1:14" x14ac:dyDescent="0.25">
      <c r="A487">
        <v>19491</v>
      </c>
      <c r="B487" t="s">
        <v>37</v>
      </c>
      <c r="C487" t="s">
        <v>38</v>
      </c>
      <c r="D487" s="1">
        <v>30000</v>
      </c>
      <c r="E487" s="3">
        <v>2</v>
      </c>
      <c r="F487" t="s">
        <v>19</v>
      </c>
      <c r="G487" t="s">
        <v>20</v>
      </c>
      <c r="H487" t="s">
        <v>15</v>
      </c>
      <c r="I487" s="3">
        <v>2</v>
      </c>
      <c r="J487" t="s">
        <v>16</v>
      </c>
      <c r="K487" t="s">
        <v>17</v>
      </c>
      <c r="L487" s="3">
        <v>42</v>
      </c>
      <c r="M487" s="3" t="str" cm="1">
        <f t="array" ref="M487">_xlfn.IFS(
L487&gt;=65,"Retirement Age",
AND(L487&lt;65,L487&gt;=40),"Middle Aged",
AND(L487&lt;40,L487&gt;=30),"In the 30s",
L487&lt;30,"Below 30")</f>
        <v>Middle Aged</v>
      </c>
      <c r="N487" t="s">
        <v>18</v>
      </c>
    </row>
    <row r="488" spans="1:14" x14ac:dyDescent="0.25">
      <c r="A488">
        <v>26415</v>
      </c>
      <c r="B488" t="s">
        <v>36</v>
      </c>
      <c r="C488" t="s">
        <v>39</v>
      </c>
      <c r="D488" s="1">
        <v>90000</v>
      </c>
      <c r="E488" s="3">
        <v>4</v>
      </c>
      <c r="F488" t="s">
        <v>29</v>
      </c>
      <c r="G488" t="s">
        <v>14</v>
      </c>
      <c r="H488" t="s">
        <v>15</v>
      </c>
      <c r="I488" s="3">
        <v>4</v>
      </c>
      <c r="J488" t="s">
        <v>45</v>
      </c>
      <c r="K488" t="s">
        <v>17</v>
      </c>
      <c r="L488" s="3">
        <v>58</v>
      </c>
      <c r="M488" s="3" t="str" cm="1">
        <f t="array" ref="M488">_xlfn.IFS(
L488&gt;=65,"Retirement Age",
AND(L488&lt;65,L488&gt;=40),"Middle Aged",
AND(L488&lt;40,L488&gt;=30),"In the 30s",
L488&lt;30,"Below 30")</f>
        <v>Middle Aged</v>
      </c>
      <c r="N488" t="s">
        <v>18</v>
      </c>
    </row>
    <row r="489" spans="1:14" x14ac:dyDescent="0.25">
      <c r="A489">
        <v>12821</v>
      </c>
      <c r="B489" t="s">
        <v>36</v>
      </c>
      <c r="C489" t="s">
        <v>38</v>
      </c>
      <c r="D489" s="1">
        <v>40000</v>
      </c>
      <c r="E489" s="3">
        <v>0</v>
      </c>
      <c r="F489" t="s">
        <v>13</v>
      </c>
      <c r="G489" t="s">
        <v>20</v>
      </c>
      <c r="H489" t="s">
        <v>15</v>
      </c>
      <c r="I489" s="3">
        <v>0</v>
      </c>
      <c r="J489" t="s">
        <v>16</v>
      </c>
      <c r="K489" t="s">
        <v>17</v>
      </c>
      <c r="L489" s="3">
        <v>39</v>
      </c>
      <c r="M489" s="3" t="str" cm="1">
        <f t="array" ref="M489">_xlfn.IFS(
L489&gt;=65,"Retirement Age",
AND(L489&lt;65,L489&gt;=40),"Middle Aged",
AND(L489&lt;40,L489&gt;=30),"In the 30s",
L489&lt;30,"Below 30")</f>
        <v>In the 30s</v>
      </c>
      <c r="N489" t="s">
        <v>18</v>
      </c>
    </row>
    <row r="490" spans="1:14" x14ac:dyDescent="0.25">
      <c r="A490">
        <v>15629</v>
      </c>
      <c r="B490" t="s">
        <v>37</v>
      </c>
      <c r="C490" t="s">
        <v>39</v>
      </c>
      <c r="D490" s="1">
        <v>10000</v>
      </c>
      <c r="E490" s="3">
        <v>0</v>
      </c>
      <c r="F490" t="s">
        <v>29</v>
      </c>
      <c r="G490" t="s">
        <v>25</v>
      </c>
      <c r="H490" t="s">
        <v>15</v>
      </c>
      <c r="I490" s="3">
        <v>2</v>
      </c>
      <c r="J490" t="s">
        <v>26</v>
      </c>
      <c r="K490" t="s">
        <v>17</v>
      </c>
      <c r="L490" s="3">
        <v>34</v>
      </c>
      <c r="M490" s="3" t="str" cm="1">
        <f t="array" ref="M490">_xlfn.IFS(
L490&gt;=65,"Retirement Age",
AND(L490&lt;65,L490&gt;=40),"Middle Aged",
AND(L490&lt;40,L490&gt;=30),"In the 30s",
L490&lt;30,"Below 30")</f>
        <v>In the 30s</v>
      </c>
      <c r="N490" t="s">
        <v>18</v>
      </c>
    </row>
    <row r="491" spans="1:14" x14ac:dyDescent="0.25">
      <c r="A491">
        <v>27835</v>
      </c>
      <c r="B491" t="s">
        <v>36</v>
      </c>
      <c r="C491" t="s">
        <v>38</v>
      </c>
      <c r="D491" s="1">
        <v>20000</v>
      </c>
      <c r="E491" s="3">
        <v>0</v>
      </c>
      <c r="F491" t="s">
        <v>29</v>
      </c>
      <c r="G491" t="s">
        <v>25</v>
      </c>
      <c r="H491" t="s">
        <v>15</v>
      </c>
      <c r="I491" s="3">
        <v>2</v>
      </c>
      <c r="J491" t="s">
        <v>16</v>
      </c>
      <c r="K491" t="s">
        <v>17</v>
      </c>
      <c r="L491" s="3">
        <v>32</v>
      </c>
      <c r="M491" s="3" t="str" cm="1">
        <f t="array" ref="M491">_xlfn.IFS(
L491&gt;=65,"Retirement Age",
AND(L491&lt;65,L491&gt;=40),"Middle Aged",
AND(L491&lt;40,L491&gt;=30),"In the 30s",
L491&lt;30,"Below 30")</f>
        <v>In the 30s</v>
      </c>
      <c r="N491" t="s">
        <v>18</v>
      </c>
    </row>
    <row r="492" spans="1:14" x14ac:dyDescent="0.25">
      <c r="A492">
        <v>11738</v>
      </c>
      <c r="B492" t="s">
        <v>36</v>
      </c>
      <c r="C492" t="s">
        <v>38</v>
      </c>
      <c r="D492" s="1">
        <v>60000</v>
      </c>
      <c r="E492" s="3">
        <v>4</v>
      </c>
      <c r="F492" t="s">
        <v>13</v>
      </c>
      <c r="G492" t="s">
        <v>21</v>
      </c>
      <c r="H492" t="s">
        <v>15</v>
      </c>
      <c r="I492" s="3">
        <v>0</v>
      </c>
      <c r="J492" t="s">
        <v>22</v>
      </c>
      <c r="K492" t="s">
        <v>32</v>
      </c>
      <c r="L492" s="3">
        <v>46</v>
      </c>
      <c r="M492" s="3" t="str" cm="1">
        <f t="array" ref="M492">_xlfn.IFS(
L492&gt;=65,"Retirement Age",
AND(L492&lt;65,L492&gt;=40),"Middle Aged",
AND(L492&lt;40,L492&gt;=30),"In the 30s",
L492&lt;30,"Below 30")</f>
        <v>Middle Aged</v>
      </c>
      <c r="N492" t="s">
        <v>18</v>
      </c>
    </row>
    <row r="493" spans="1:14" x14ac:dyDescent="0.25">
      <c r="A493">
        <v>25065</v>
      </c>
      <c r="B493" t="s">
        <v>36</v>
      </c>
      <c r="C493" t="s">
        <v>38</v>
      </c>
      <c r="D493" s="1">
        <v>70000</v>
      </c>
      <c r="E493" s="3">
        <v>2</v>
      </c>
      <c r="F493" t="s">
        <v>29</v>
      </c>
      <c r="G493" t="s">
        <v>14</v>
      </c>
      <c r="H493" t="s">
        <v>15</v>
      </c>
      <c r="I493" s="3">
        <v>2</v>
      </c>
      <c r="J493" t="s">
        <v>23</v>
      </c>
      <c r="K493" t="s">
        <v>32</v>
      </c>
      <c r="L493" s="3">
        <v>48</v>
      </c>
      <c r="M493" s="3" t="str" cm="1">
        <f t="array" ref="M493">_xlfn.IFS(
L493&gt;=65,"Retirement Age",
AND(L493&lt;65,L493&gt;=40),"Middle Aged",
AND(L493&lt;40,L493&gt;=30),"In the 30s",
L493&lt;30,"Below 30")</f>
        <v>Middle Aged</v>
      </c>
      <c r="N493" t="s">
        <v>18</v>
      </c>
    </row>
    <row r="494" spans="1:14" x14ac:dyDescent="0.25">
      <c r="A494">
        <v>26238</v>
      </c>
      <c r="B494" t="s">
        <v>37</v>
      </c>
      <c r="C494" t="s">
        <v>39</v>
      </c>
      <c r="D494" s="1">
        <v>40000</v>
      </c>
      <c r="E494" s="3">
        <v>3</v>
      </c>
      <c r="F494" t="s">
        <v>19</v>
      </c>
      <c r="G494" t="s">
        <v>20</v>
      </c>
      <c r="H494" t="s">
        <v>15</v>
      </c>
      <c r="I494" s="3">
        <v>1</v>
      </c>
      <c r="J494" t="s">
        <v>26</v>
      </c>
      <c r="K494" t="s">
        <v>32</v>
      </c>
      <c r="L494" s="3">
        <v>31</v>
      </c>
      <c r="M494" s="3" t="str" cm="1">
        <f t="array" ref="M494">_xlfn.IFS(
L494&gt;=65,"Retirement Age",
AND(L494&lt;65,L494&gt;=40),"Middle Aged",
AND(L494&lt;40,L494&gt;=30),"In the 30s",
L494&lt;30,"Below 30")</f>
        <v>In the 30s</v>
      </c>
      <c r="N494" t="s">
        <v>15</v>
      </c>
    </row>
    <row r="495" spans="1:14" x14ac:dyDescent="0.25">
      <c r="A495">
        <v>23707</v>
      </c>
      <c r="B495" t="s">
        <v>37</v>
      </c>
      <c r="C495" t="s">
        <v>38</v>
      </c>
      <c r="D495" s="1">
        <v>70000</v>
      </c>
      <c r="E495" s="3">
        <v>5</v>
      </c>
      <c r="F495" t="s">
        <v>13</v>
      </c>
      <c r="G495" t="s">
        <v>28</v>
      </c>
      <c r="H495" t="s">
        <v>15</v>
      </c>
      <c r="I495" s="3">
        <v>3</v>
      </c>
      <c r="J495" t="s">
        <v>45</v>
      </c>
      <c r="K495" t="s">
        <v>32</v>
      </c>
      <c r="L495" s="3">
        <v>60</v>
      </c>
      <c r="M495" s="3" t="str" cm="1">
        <f t="array" ref="M495">_xlfn.IFS(
L495&gt;=65,"Retirement Age",
AND(L495&lt;65,L495&gt;=40),"Middle Aged",
AND(L495&lt;40,L495&gt;=30),"In the 30s",
L495&lt;30,"Below 30")</f>
        <v>Middle Aged</v>
      </c>
      <c r="N495" t="s">
        <v>15</v>
      </c>
    </row>
    <row r="496" spans="1:14" x14ac:dyDescent="0.25">
      <c r="A496">
        <v>27650</v>
      </c>
      <c r="B496" t="s">
        <v>36</v>
      </c>
      <c r="C496" t="s">
        <v>38</v>
      </c>
      <c r="D496" s="1">
        <v>70000</v>
      </c>
      <c r="E496" s="3">
        <v>4</v>
      </c>
      <c r="F496" t="s">
        <v>27</v>
      </c>
      <c r="G496" t="s">
        <v>21</v>
      </c>
      <c r="H496" t="s">
        <v>15</v>
      </c>
      <c r="I496" s="3">
        <v>0</v>
      </c>
      <c r="J496" t="s">
        <v>23</v>
      </c>
      <c r="K496" t="s">
        <v>32</v>
      </c>
      <c r="L496" s="3">
        <v>51</v>
      </c>
      <c r="M496" s="3" t="str" cm="1">
        <f t="array" ref="M496">_xlfn.IFS(
L496&gt;=65,"Retirement Age",
AND(L496&lt;65,L496&gt;=40),"Middle Aged",
AND(L496&lt;40,L496&gt;=30),"In the 30s",
L496&lt;30,"Below 30")</f>
        <v>Middle Aged</v>
      </c>
      <c r="N496" t="s">
        <v>18</v>
      </c>
    </row>
    <row r="497" spans="1:14" x14ac:dyDescent="0.25">
      <c r="A497">
        <v>24981</v>
      </c>
      <c r="B497" t="s">
        <v>36</v>
      </c>
      <c r="C497" t="s">
        <v>38</v>
      </c>
      <c r="D497" s="1">
        <v>60000</v>
      </c>
      <c r="E497" s="3">
        <v>2</v>
      </c>
      <c r="F497" t="s">
        <v>19</v>
      </c>
      <c r="G497" t="s">
        <v>21</v>
      </c>
      <c r="H497" t="s">
        <v>15</v>
      </c>
      <c r="I497" s="3">
        <v>2</v>
      </c>
      <c r="J497" t="s">
        <v>45</v>
      </c>
      <c r="K497" t="s">
        <v>32</v>
      </c>
      <c r="L497" s="3">
        <v>56</v>
      </c>
      <c r="M497" s="3" t="str" cm="1">
        <f t="array" ref="M497">_xlfn.IFS(
L497&gt;=65,"Retirement Age",
AND(L497&lt;65,L497&gt;=40),"Middle Aged",
AND(L497&lt;40,L497&gt;=30),"In the 30s",
L497&lt;30,"Below 30")</f>
        <v>Middle Aged</v>
      </c>
      <c r="N497" t="s">
        <v>18</v>
      </c>
    </row>
    <row r="498" spans="1:14" x14ac:dyDescent="0.25">
      <c r="A498">
        <v>20678</v>
      </c>
      <c r="B498" t="s">
        <v>37</v>
      </c>
      <c r="C498" t="s">
        <v>39</v>
      </c>
      <c r="D498" s="1">
        <v>60000</v>
      </c>
      <c r="E498" s="3">
        <v>3</v>
      </c>
      <c r="F498" t="s">
        <v>13</v>
      </c>
      <c r="G498" t="s">
        <v>14</v>
      </c>
      <c r="H498" t="s">
        <v>15</v>
      </c>
      <c r="I498" s="3">
        <v>1</v>
      </c>
      <c r="J498" t="s">
        <v>22</v>
      </c>
      <c r="K498" t="s">
        <v>32</v>
      </c>
      <c r="L498" s="3">
        <v>40</v>
      </c>
      <c r="M498" s="3" t="str" cm="1">
        <f t="array" ref="M498">_xlfn.IFS(
L498&gt;=65,"Retirement Age",
AND(L498&lt;65,L498&gt;=40),"Middle Aged",
AND(L498&lt;40,L498&gt;=30),"In the 30s",
L498&lt;30,"Below 30")</f>
        <v>Middle Aged</v>
      </c>
      <c r="N498" t="s">
        <v>15</v>
      </c>
    </row>
    <row r="499" spans="1:14" x14ac:dyDescent="0.25">
      <c r="A499">
        <v>15302</v>
      </c>
      <c r="B499" t="s">
        <v>37</v>
      </c>
      <c r="C499" t="s">
        <v>39</v>
      </c>
      <c r="D499" s="1">
        <v>70000</v>
      </c>
      <c r="E499" s="3">
        <v>1</v>
      </c>
      <c r="F499" t="s">
        <v>31</v>
      </c>
      <c r="G499" t="s">
        <v>21</v>
      </c>
      <c r="H499" t="s">
        <v>15</v>
      </c>
      <c r="I499" s="3">
        <v>0</v>
      </c>
      <c r="J499" t="s">
        <v>22</v>
      </c>
      <c r="K499" t="s">
        <v>32</v>
      </c>
      <c r="L499" s="3">
        <v>34</v>
      </c>
      <c r="M499" s="3" t="str" cm="1">
        <f t="array" ref="M499">_xlfn.IFS(
L499&gt;=65,"Retirement Age",
AND(L499&lt;65,L499&gt;=40),"Middle Aged",
AND(L499&lt;40,L499&gt;=30),"In the 30s",
L499&lt;30,"Below 30")</f>
        <v>In the 30s</v>
      </c>
      <c r="N499" t="s">
        <v>15</v>
      </c>
    </row>
    <row r="500" spans="1:14" x14ac:dyDescent="0.25">
      <c r="A500">
        <v>26012</v>
      </c>
      <c r="B500" t="s">
        <v>36</v>
      </c>
      <c r="C500" t="s">
        <v>38</v>
      </c>
      <c r="D500" s="1">
        <v>80000</v>
      </c>
      <c r="E500" s="3">
        <v>1</v>
      </c>
      <c r="F500" t="s">
        <v>19</v>
      </c>
      <c r="G500" t="s">
        <v>14</v>
      </c>
      <c r="H500" t="s">
        <v>15</v>
      </c>
      <c r="I500" s="3">
        <v>1</v>
      </c>
      <c r="J500" t="s">
        <v>22</v>
      </c>
      <c r="K500" t="s">
        <v>32</v>
      </c>
      <c r="L500" s="3">
        <v>48</v>
      </c>
      <c r="M500" s="3" t="str" cm="1">
        <f t="array" ref="M500">_xlfn.IFS(
L500&gt;=65,"Retirement Age",
AND(L500&lt;65,L500&gt;=40),"Middle Aged",
AND(L500&lt;40,L500&gt;=30),"In the 30s",
L500&lt;30,"Below 30")</f>
        <v>Middle Aged</v>
      </c>
      <c r="N500" t="s">
        <v>15</v>
      </c>
    </row>
    <row r="501" spans="1:14" x14ac:dyDescent="0.25">
      <c r="A501">
        <v>26575</v>
      </c>
      <c r="B501" t="s">
        <v>37</v>
      </c>
      <c r="C501" t="s">
        <v>39</v>
      </c>
      <c r="D501" s="1">
        <v>40000</v>
      </c>
      <c r="E501" s="3">
        <v>0</v>
      </c>
      <c r="F501" t="s">
        <v>27</v>
      </c>
      <c r="G501" t="s">
        <v>14</v>
      </c>
      <c r="H501" t="s">
        <v>18</v>
      </c>
      <c r="I501" s="3">
        <v>2</v>
      </c>
      <c r="J501" t="s">
        <v>26</v>
      </c>
      <c r="K501" t="s">
        <v>32</v>
      </c>
      <c r="L501" s="3">
        <v>31</v>
      </c>
      <c r="M501" s="3" t="str" cm="1">
        <f t="array" ref="M501">_xlfn.IFS(
L501&gt;=65,"Retirement Age",
AND(L501&lt;65,L501&gt;=40),"Middle Aged",
AND(L501&lt;40,L501&gt;=30),"In the 30s",
L501&lt;30,"Below 30")</f>
        <v>In the 30s</v>
      </c>
      <c r="N501" t="s">
        <v>15</v>
      </c>
    </row>
    <row r="502" spans="1:14" x14ac:dyDescent="0.25">
      <c r="A502">
        <v>15559</v>
      </c>
      <c r="B502" t="s">
        <v>36</v>
      </c>
      <c r="C502" t="s">
        <v>38</v>
      </c>
      <c r="D502" s="1">
        <v>60000</v>
      </c>
      <c r="E502" s="3">
        <v>5</v>
      </c>
      <c r="F502" t="s">
        <v>13</v>
      </c>
      <c r="G502" t="s">
        <v>21</v>
      </c>
      <c r="H502" t="s">
        <v>15</v>
      </c>
      <c r="I502" s="3">
        <v>1</v>
      </c>
      <c r="J502" t="s">
        <v>22</v>
      </c>
      <c r="K502" t="s">
        <v>32</v>
      </c>
      <c r="L502" s="3">
        <v>47</v>
      </c>
      <c r="M502" s="3" t="str" cm="1">
        <f t="array" ref="M502">_xlfn.IFS(
L502&gt;=65,"Retirement Age",
AND(L502&lt;65,L502&gt;=40),"Middle Aged",
AND(L502&lt;40,L502&gt;=30),"In the 30s",
L502&lt;30,"Below 30")</f>
        <v>Middle Aged</v>
      </c>
      <c r="N502" t="s">
        <v>18</v>
      </c>
    </row>
    <row r="503" spans="1:14" x14ac:dyDescent="0.25">
      <c r="A503">
        <v>19235</v>
      </c>
      <c r="B503" t="s">
        <v>36</v>
      </c>
      <c r="C503" t="s">
        <v>39</v>
      </c>
      <c r="D503" s="1">
        <v>50000</v>
      </c>
      <c r="E503" s="3">
        <v>0</v>
      </c>
      <c r="F503" t="s">
        <v>31</v>
      </c>
      <c r="G503" t="s">
        <v>14</v>
      </c>
      <c r="H503" t="s">
        <v>15</v>
      </c>
      <c r="I503" s="3">
        <v>0</v>
      </c>
      <c r="J503" t="s">
        <v>16</v>
      </c>
      <c r="K503" t="s">
        <v>32</v>
      </c>
      <c r="L503" s="3">
        <v>34</v>
      </c>
      <c r="M503" s="3" t="str" cm="1">
        <f t="array" ref="M503">_xlfn.IFS(
L503&gt;=65,"Retirement Age",
AND(L503&lt;65,L503&gt;=40),"Middle Aged",
AND(L503&lt;40,L503&gt;=30),"In the 30s",
L503&lt;30,"Below 30")</f>
        <v>In the 30s</v>
      </c>
      <c r="N503" t="s">
        <v>18</v>
      </c>
    </row>
    <row r="504" spans="1:14" x14ac:dyDescent="0.25">
      <c r="A504">
        <v>15275</v>
      </c>
      <c r="B504" t="s">
        <v>36</v>
      </c>
      <c r="C504" t="s">
        <v>38</v>
      </c>
      <c r="D504" s="1">
        <v>40000</v>
      </c>
      <c r="E504" s="3">
        <v>0</v>
      </c>
      <c r="F504" t="s">
        <v>19</v>
      </c>
      <c r="G504" t="s">
        <v>14</v>
      </c>
      <c r="H504" t="s">
        <v>15</v>
      </c>
      <c r="I504" s="3">
        <v>1</v>
      </c>
      <c r="J504" t="s">
        <v>23</v>
      </c>
      <c r="K504" t="s">
        <v>32</v>
      </c>
      <c r="L504" s="3">
        <v>29</v>
      </c>
      <c r="M504" s="3" t="str" cm="1">
        <f t="array" ref="M504">_xlfn.IFS(
L504&gt;=65,"Retirement Age",
AND(L504&lt;65,L504&gt;=40),"Middle Aged",
AND(L504&lt;40,L504&gt;=30),"In the 30s",
L504&lt;30,"Below 30")</f>
        <v>Below 30</v>
      </c>
      <c r="N504" t="s">
        <v>18</v>
      </c>
    </row>
    <row r="505" spans="1:14" x14ac:dyDescent="0.25">
      <c r="A505">
        <v>20339</v>
      </c>
      <c r="B505" t="s">
        <v>36</v>
      </c>
      <c r="C505" t="s">
        <v>39</v>
      </c>
      <c r="D505" s="1">
        <v>130000</v>
      </c>
      <c r="E505" s="3">
        <v>1</v>
      </c>
      <c r="F505" t="s">
        <v>13</v>
      </c>
      <c r="G505" t="s">
        <v>28</v>
      </c>
      <c r="H505" t="s">
        <v>15</v>
      </c>
      <c r="I505" s="3">
        <v>4</v>
      </c>
      <c r="J505" t="s">
        <v>22</v>
      </c>
      <c r="K505" t="s">
        <v>32</v>
      </c>
      <c r="L505" s="3">
        <v>44</v>
      </c>
      <c r="M505" s="3" t="str" cm="1">
        <f t="array" ref="M505">_xlfn.IFS(
L505&gt;=65,"Retirement Age",
AND(L505&lt;65,L505&gt;=40),"Middle Aged",
AND(L505&lt;40,L505&gt;=30),"In the 30s",
L505&lt;30,"Below 30")</f>
        <v>Middle Aged</v>
      </c>
      <c r="N505" t="s">
        <v>15</v>
      </c>
    </row>
    <row r="506" spans="1:14" x14ac:dyDescent="0.25">
      <c r="A506">
        <v>25405</v>
      </c>
      <c r="B506" t="s">
        <v>36</v>
      </c>
      <c r="C506" t="s">
        <v>38</v>
      </c>
      <c r="D506" s="1">
        <v>70000</v>
      </c>
      <c r="E506" s="3">
        <v>2</v>
      </c>
      <c r="F506" t="s">
        <v>13</v>
      </c>
      <c r="G506" t="s">
        <v>14</v>
      </c>
      <c r="H506" t="s">
        <v>15</v>
      </c>
      <c r="I506" s="3">
        <v>1</v>
      </c>
      <c r="J506" t="s">
        <v>22</v>
      </c>
      <c r="K506" t="s">
        <v>32</v>
      </c>
      <c r="L506" s="3">
        <v>38</v>
      </c>
      <c r="M506" s="3" t="str" cm="1">
        <f t="array" ref="M506">_xlfn.IFS(
L506&gt;=65,"Retirement Age",
AND(L506&lt;65,L506&gt;=40),"Middle Aged",
AND(L506&lt;40,L506&gt;=30),"In the 30s",
L506&lt;30,"Below 30")</f>
        <v>In the 30s</v>
      </c>
      <c r="N506" t="s">
        <v>15</v>
      </c>
    </row>
    <row r="507" spans="1:14" x14ac:dyDescent="0.25">
      <c r="A507">
        <v>15940</v>
      </c>
      <c r="B507" t="s">
        <v>36</v>
      </c>
      <c r="C507" t="s">
        <v>38</v>
      </c>
      <c r="D507" s="1">
        <v>100000</v>
      </c>
      <c r="E507" s="3">
        <v>4</v>
      </c>
      <c r="F507" t="s">
        <v>19</v>
      </c>
      <c r="G507" t="s">
        <v>21</v>
      </c>
      <c r="H507" t="s">
        <v>15</v>
      </c>
      <c r="I507" s="3">
        <v>4</v>
      </c>
      <c r="J507" t="s">
        <v>16</v>
      </c>
      <c r="K507" t="s">
        <v>32</v>
      </c>
      <c r="L507" s="3">
        <v>40</v>
      </c>
      <c r="M507" s="3" t="str" cm="1">
        <f t="array" ref="M507">_xlfn.IFS(
L507&gt;=65,"Retirement Age",
AND(L507&lt;65,L507&gt;=40),"Middle Aged",
AND(L507&lt;40,L507&gt;=30),"In the 30s",
L507&lt;30,"Below 30")</f>
        <v>Middle Aged</v>
      </c>
      <c r="N507" t="s">
        <v>18</v>
      </c>
    </row>
    <row r="508" spans="1:14" x14ac:dyDescent="0.25">
      <c r="A508">
        <v>25074</v>
      </c>
      <c r="B508" t="s">
        <v>36</v>
      </c>
      <c r="C508" t="s">
        <v>39</v>
      </c>
      <c r="D508" s="1">
        <v>70000</v>
      </c>
      <c r="E508" s="3">
        <v>4</v>
      </c>
      <c r="F508" t="s">
        <v>13</v>
      </c>
      <c r="G508" t="s">
        <v>21</v>
      </c>
      <c r="H508" t="s">
        <v>15</v>
      </c>
      <c r="I508" s="3">
        <v>2</v>
      </c>
      <c r="J508" t="s">
        <v>22</v>
      </c>
      <c r="K508" t="s">
        <v>32</v>
      </c>
      <c r="L508" s="3">
        <v>42</v>
      </c>
      <c r="M508" s="3" t="str" cm="1">
        <f t="array" ref="M508">_xlfn.IFS(
L508&gt;=65,"Retirement Age",
AND(L508&lt;65,L508&gt;=40),"Middle Aged",
AND(L508&lt;40,L508&gt;=30),"In the 30s",
L508&lt;30,"Below 30")</f>
        <v>Middle Aged</v>
      </c>
      <c r="N508" t="s">
        <v>15</v>
      </c>
    </row>
    <row r="509" spans="1:14" x14ac:dyDescent="0.25">
      <c r="A509">
        <v>24738</v>
      </c>
      <c r="B509" t="s">
        <v>36</v>
      </c>
      <c r="C509" t="s">
        <v>39</v>
      </c>
      <c r="D509" s="1">
        <v>40000</v>
      </c>
      <c r="E509" s="3">
        <v>1</v>
      </c>
      <c r="F509" t="s">
        <v>19</v>
      </c>
      <c r="G509" t="s">
        <v>20</v>
      </c>
      <c r="H509" t="s">
        <v>15</v>
      </c>
      <c r="I509" s="3">
        <v>1</v>
      </c>
      <c r="J509" t="s">
        <v>26</v>
      </c>
      <c r="K509" t="s">
        <v>32</v>
      </c>
      <c r="L509" s="3">
        <v>51</v>
      </c>
      <c r="M509" s="3" t="str" cm="1">
        <f t="array" ref="M509">_xlfn.IFS(
L509&gt;=65,"Retirement Age",
AND(L509&lt;65,L509&gt;=40),"Middle Aged",
AND(L509&lt;40,L509&gt;=30),"In the 30s",
L509&lt;30,"Below 30")</f>
        <v>Middle Aged</v>
      </c>
      <c r="N509" t="s">
        <v>15</v>
      </c>
    </row>
    <row r="510" spans="1:14" x14ac:dyDescent="0.25">
      <c r="A510">
        <v>16337</v>
      </c>
      <c r="B510" t="s">
        <v>36</v>
      </c>
      <c r="C510" t="s">
        <v>38</v>
      </c>
      <c r="D510" s="1">
        <v>60000</v>
      </c>
      <c r="E510" s="3">
        <v>0</v>
      </c>
      <c r="F510" t="s">
        <v>19</v>
      </c>
      <c r="G510" t="s">
        <v>14</v>
      </c>
      <c r="H510" t="s">
        <v>18</v>
      </c>
      <c r="I510" s="3">
        <v>2</v>
      </c>
      <c r="J510" t="s">
        <v>26</v>
      </c>
      <c r="K510" t="s">
        <v>32</v>
      </c>
      <c r="L510" s="3">
        <v>29</v>
      </c>
      <c r="M510" s="3" t="str" cm="1">
        <f t="array" ref="M510">_xlfn.IFS(
L510&gt;=65,"Retirement Age",
AND(L510&lt;65,L510&gt;=40),"Middle Aged",
AND(L510&lt;40,L510&gt;=30),"In the 30s",
L510&lt;30,"Below 30")</f>
        <v>Below 30</v>
      </c>
      <c r="N510" t="s">
        <v>18</v>
      </c>
    </row>
    <row r="511" spans="1:14" x14ac:dyDescent="0.25">
      <c r="A511">
        <v>24357</v>
      </c>
      <c r="B511" t="s">
        <v>36</v>
      </c>
      <c r="C511" t="s">
        <v>38</v>
      </c>
      <c r="D511" s="1">
        <v>80000</v>
      </c>
      <c r="E511" s="3">
        <v>3</v>
      </c>
      <c r="F511" t="s">
        <v>13</v>
      </c>
      <c r="G511" t="s">
        <v>21</v>
      </c>
      <c r="H511" t="s">
        <v>15</v>
      </c>
      <c r="I511" s="3">
        <v>1</v>
      </c>
      <c r="J511" t="s">
        <v>22</v>
      </c>
      <c r="K511" t="s">
        <v>32</v>
      </c>
      <c r="L511" s="3">
        <v>48</v>
      </c>
      <c r="M511" s="3" t="str" cm="1">
        <f t="array" ref="M511">_xlfn.IFS(
L511&gt;=65,"Retirement Age",
AND(L511&lt;65,L511&gt;=40),"Middle Aged",
AND(L511&lt;40,L511&gt;=30),"In the 30s",
L511&lt;30,"Below 30")</f>
        <v>Middle Aged</v>
      </c>
      <c r="N511" t="s">
        <v>15</v>
      </c>
    </row>
    <row r="512" spans="1:14" x14ac:dyDescent="0.25">
      <c r="A512">
        <v>18613</v>
      </c>
      <c r="B512" t="s">
        <v>37</v>
      </c>
      <c r="C512" t="s">
        <v>38</v>
      </c>
      <c r="D512" s="1">
        <v>70000</v>
      </c>
      <c r="E512" s="3">
        <v>0</v>
      </c>
      <c r="F512" t="s">
        <v>13</v>
      </c>
      <c r="G512" t="s">
        <v>21</v>
      </c>
      <c r="H512" t="s">
        <v>18</v>
      </c>
      <c r="I512" s="3">
        <v>1</v>
      </c>
      <c r="J512" t="s">
        <v>22</v>
      </c>
      <c r="K512" t="s">
        <v>32</v>
      </c>
      <c r="L512" s="3">
        <v>37</v>
      </c>
      <c r="M512" s="3" t="str" cm="1">
        <f t="array" ref="M512">_xlfn.IFS(
L512&gt;=65,"Retirement Age",
AND(L512&lt;65,L512&gt;=40),"Middle Aged",
AND(L512&lt;40,L512&gt;=30),"In the 30s",
L512&lt;30,"Below 30")</f>
        <v>In the 30s</v>
      </c>
      <c r="N512" t="s">
        <v>15</v>
      </c>
    </row>
    <row r="513" spans="1:14" x14ac:dyDescent="0.25">
      <c r="A513">
        <v>12207</v>
      </c>
      <c r="B513" t="s">
        <v>37</v>
      </c>
      <c r="C513" t="s">
        <v>38</v>
      </c>
      <c r="D513" s="1">
        <v>80000</v>
      </c>
      <c r="E513" s="3">
        <v>4</v>
      </c>
      <c r="F513" t="s">
        <v>13</v>
      </c>
      <c r="G513" t="s">
        <v>28</v>
      </c>
      <c r="H513" t="s">
        <v>15</v>
      </c>
      <c r="I513" s="3">
        <v>0</v>
      </c>
      <c r="J513" t="s">
        <v>23</v>
      </c>
      <c r="K513" t="s">
        <v>32</v>
      </c>
      <c r="L513" s="3">
        <v>66</v>
      </c>
      <c r="M513" s="3" t="str" cm="1">
        <f t="array" ref="M513">_xlfn.IFS(
L513&gt;=65,"Retirement Age",
AND(L513&lt;65,L513&gt;=40),"Middle Aged",
AND(L513&lt;40,L513&gt;=30),"In the 30s",
L513&lt;30,"Below 30")</f>
        <v>Retirement Age</v>
      </c>
      <c r="N513" t="s">
        <v>15</v>
      </c>
    </row>
    <row r="514" spans="1:14" x14ac:dyDescent="0.25">
      <c r="A514">
        <v>18052</v>
      </c>
      <c r="B514" t="s">
        <v>36</v>
      </c>
      <c r="C514" t="s">
        <v>39</v>
      </c>
      <c r="D514" s="1">
        <v>60000</v>
      </c>
      <c r="E514" s="3">
        <v>1</v>
      </c>
      <c r="F514" t="s">
        <v>19</v>
      </c>
      <c r="G514" t="s">
        <v>14</v>
      </c>
      <c r="H514" t="s">
        <v>15</v>
      </c>
      <c r="I514" s="3">
        <v>1</v>
      </c>
      <c r="J514" t="s">
        <v>16</v>
      </c>
      <c r="K514" t="s">
        <v>32</v>
      </c>
      <c r="L514" s="3">
        <v>45</v>
      </c>
      <c r="M514" s="3" t="str" cm="1">
        <f t="array" ref="M514">_xlfn.IFS(
L514&gt;=65,"Retirement Age",
AND(L514&lt;65,L514&gt;=40),"Middle Aged",
AND(L514&lt;40,L514&gt;=30),"In the 30s",
L514&lt;30,"Below 30")</f>
        <v>Middle Aged</v>
      </c>
      <c r="N514" t="s">
        <v>15</v>
      </c>
    </row>
    <row r="515" spans="1:14" x14ac:dyDescent="0.25">
      <c r="A515">
        <v>13353</v>
      </c>
      <c r="B515" t="s">
        <v>37</v>
      </c>
      <c r="C515" t="s">
        <v>39</v>
      </c>
      <c r="D515" s="1">
        <v>60000</v>
      </c>
      <c r="E515" s="3">
        <v>4</v>
      </c>
      <c r="F515" t="s">
        <v>31</v>
      </c>
      <c r="G515" t="s">
        <v>28</v>
      </c>
      <c r="H515" t="s">
        <v>15</v>
      </c>
      <c r="I515" s="3">
        <v>2</v>
      </c>
      <c r="J515" t="s">
        <v>45</v>
      </c>
      <c r="K515" t="s">
        <v>32</v>
      </c>
      <c r="L515" s="3">
        <v>61</v>
      </c>
      <c r="M515" s="3" t="str" cm="1">
        <f t="array" ref="M515">_xlfn.IFS(
L515&gt;=65,"Retirement Age",
AND(L515&lt;65,L515&gt;=40),"Middle Aged",
AND(L515&lt;40,L515&gt;=30),"In the 30s",
L515&lt;30,"Below 30")</f>
        <v>Middle Aged</v>
      </c>
      <c r="N515" t="s">
        <v>15</v>
      </c>
    </row>
    <row r="516" spans="1:14" x14ac:dyDescent="0.25">
      <c r="A516">
        <v>19399</v>
      </c>
      <c r="B516" t="s">
        <v>37</v>
      </c>
      <c r="C516" t="s">
        <v>38</v>
      </c>
      <c r="D516" s="1">
        <v>40000</v>
      </c>
      <c r="E516" s="3">
        <v>0</v>
      </c>
      <c r="F516" t="s">
        <v>13</v>
      </c>
      <c r="G516" t="s">
        <v>21</v>
      </c>
      <c r="H516" t="s">
        <v>18</v>
      </c>
      <c r="I516" s="3">
        <v>1</v>
      </c>
      <c r="J516" t="s">
        <v>22</v>
      </c>
      <c r="K516" t="s">
        <v>32</v>
      </c>
      <c r="L516" s="3">
        <v>45</v>
      </c>
      <c r="M516" s="3" t="str" cm="1">
        <f t="array" ref="M516">_xlfn.IFS(
L516&gt;=65,"Retirement Age",
AND(L516&lt;65,L516&gt;=40),"Middle Aged",
AND(L516&lt;40,L516&gt;=30),"In the 30s",
L516&lt;30,"Below 30")</f>
        <v>Middle Aged</v>
      </c>
      <c r="N516" t="s">
        <v>18</v>
      </c>
    </row>
    <row r="517" spans="1:14" x14ac:dyDescent="0.25">
      <c r="A517">
        <v>16154</v>
      </c>
      <c r="B517" t="s">
        <v>36</v>
      </c>
      <c r="C517" t="s">
        <v>39</v>
      </c>
      <c r="D517" s="1">
        <v>70000</v>
      </c>
      <c r="E517" s="3">
        <v>5</v>
      </c>
      <c r="F517" t="s">
        <v>13</v>
      </c>
      <c r="G517" t="s">
        <v>21</v>
      </c>
      <c r="H517" t="s">
        <v>15</v>
      </c>
      <c r="I517" s="3">
        <v>2</v>
      </c>
      <c r="J517" t="s">
        <v>22</v>
      </c>
      <c r="K517" t="s">
        <v>32</v>
      </c>
      <c r="L517" s="3">
        <v>47</v>
      </c>
      <c r="M517" s="3" t="str" cm="1">
        <f t="array" ref="M517">_xlfn.IFS(
L517&gt;=65,"Retirement Age",
AND(L517&lt;65,L517&gt;=40),"Middle Aged",
AND(L517&lt;40,L517&gt;=30),"In the 30s",
L517&lt;30,"Below 30")</f>
        <v>Middle Aged</v>
      </c>
      <c r="N517" t="s">
        <v>18</v>
      </c>
    </row>
    <row r="518" spans="1:14" x14ac:dyDescent="0.25">
      <c r="A518">
        <v>22219</v>
      </c>
      <c r="B518" t="s">
        <v>36</v>
      </c>
      <c r="C518" t="s">
        <v>39</v>
      </c>
      <c r="D518" s="1">
        <v>60000</v>
      </c>
      <c r="E518" s="3">
        <v>2</v>
      </c>
      <c r="F518" t="s">
        <v>27</v>
      </c>
      <c r="G518" t="s">
        <v>21</v>
      </c>
      <c r="H518" t="s">
        <v>15</v>
      </c>
      <c r="I518" s="3">
        <v>2</v>
      </c>
      <c r="J518" t="s">
        <v>23</v>
      </c>
      <c r="K518" t="s">
        <v>32</v>
      </c>
      <c r="L518" s="3">
        <v>49</v>
      </c>
      <c r="M518" s="3" t="str" cm="1">
        <f t="array" ref="M518">_xlfn.IFS(
L518&gt;=65,"Retirement Age",
AND(L518&lt;65,L518&gt;=40),"Middle Aged",
AND(L518&lt;40,L518&gt;=30),"In the 30s",
L518&lt;30,"Below 30")</f>
        <v>Middle Aged</v>
      </c>
      <c r="N518" t="s">
        <v>18</v>
      </c>
    </row>
    <row r="519" spans="1:14" x14ac:dyDescent="0.25">
      <c r="A519">
        <v>17269</v>
      </c>
      <c r="B519" t="s">
        <v>37</v>
      </c>
      <c r="C519" t="s">
        <v>38</v>
      </c>
      <c r="D519" s="1">
        <v>60000</v>
      </c>
      <c r="E519" s="3">
        <v>3</v>
      </c>
      <c r="F519" t="s">
        <v>13</v>
      </c>
      <c r="G519" t="s">
        <v>21</v>
      </c>
      <c r="H519" t="s">
        <v>18</v>
      </c>
      <c r="I519" s="3">
        <v>0</v>
      </c>
      <c r="J519" t="s">
        <v>16</v>
      </c>
      <c r="K519" t="s">
        <v>32</v>
      </c>
      <c r="L519" s="3">
        <v>47</v>
      </c>
      <c r="M519" s="3" t="str" cm="1">
        <f t="array" ref="M519">_xlfn.IFS(
L519&gt;=65,"Retirement Age",
AND(L519&lt;65,L519&gt;=40),"Middle Aged",
AND(L519&lt;40,L519&gt;=30),"In the 30s",
L519&lt;30,"Below 30")</f>
        <v>Middle Aged</v>
      </c>
      <c r="N519" t="s">
        <v>15</v>
      </c>
    </row>
    <row r="520" spans="1:14" x14ac:dyDescent="0.25">
      <c r="A520">
        <v>23586</v>
      </c>
      <c r="B520" t="s">
        <v>36</v>
      </c>
      <c r="C520" t="s">
        <v>39</v>
      </c>
      <c r="D520" s="1">
        <v>80000</v>
      </c>
      <c r="E520" s="3">
        <v>0</v>
      </c>
      <c r="F520" t="s">
        <v>13</v>
      </c>
      <c r="G520" t="s">
        <v>28</v>
      </c>
      <c r="H520" t="s">
        <v>15</v>
      </c>
      <c r="I520" s="3">
        <v>1</v>
      </c>
      <c r="J520" t="s">
        <v>26</v>
      </c>
      <c r="K520" t="s">
        <v>32</v>
      </c>
      <c r="L520" s="3">
        <v>34</v>
      </c>
      <c r="M520" s="3" t="str" cm="1">
        <f t="array" ref="M520">_xlfn.IFS(
L520&gt;=65,"Retirement Age",
AND(L520&lt;65,L520&gt;=40),"Middle Aged",
AND(L520&lt;40,L520&gt;=30),"In the 30s",
L520&lt;30,"Below 30")</f>
        <v>In the 30s</v>
      </c>
      <c r="N520" t="s">
        <v>15</v>
      </c>
    </row>
    <row r="521" spans="1:14" x14ac:dyDescent="0.25">
      <c r="A521">
        <v>15740</v>
      </c>
      <c r="B521" t="s">
        <v>36</v>
      </c>
      <c r="C521" t="s">
        <v>38</v>
      </c>
      <c r="D521" s="1">
        <v>80000</v>
      </c>
      <c r="E521" s="3">
        <v>5</v>
      </c>
      <c r="F521" t="s">
        <v>13</v>
      </c>
      <c r="G521" t="s">
        <v>28</v>
      </c>
      <c r="H521" t="s">
        <v>15</v>
      </c>
      <c r="I521" s="3">
        <v>2</v>
      </c>
      <c r="J521" t="s">
        <v>26</v>
      </c>
      <c r="K521" t="s">
        <v>32</v>
      </c>
      <c r="L521" s="3">
        <v>64</v>
      </c>
      <c r="M521" s="3" t="str" cm="1">
        <f t="array" ref="M521">_xlfn.IFS(
L521&gt;=65,"Retirement Age",
AND(L521&lt;65,L521&gt;=40),"Middle Aged",
AND(L521&lt;40,L521&gt;=30),"In the 30s",
L521&lt;30,"Below 30")</f>
        <v>Middle Aged</v>
      </c>
      <c r="N521" t="s">
        <v>18</v>
      </c>
    </row>
    <row r="522" spans="1:14" x14ac:dyDescent="0.25">
      <c r="A522">
        <v>27638</v>
      </c>
      <c r="B522" t="s">
        <v>37</v>
      </c>
      <c r="C522" t="s">
        <v>38</v>
      </c>
      <c r="D522" s="1">
        <v>100000</v>
      </c>
      <c r="E522" s="3">
        <v>1</v>
      </c>
      <c r="F522" t="s">
        <v>19</v>
      </c>
      <c r="G522" t="s">
        <v>21</v>
      </c>
      <c r="H522" t="s">
        <v>18</v>
      </c>
      <c r="I522" s="3">
        <v>3</v>
      </c>
      <c r="J522" t="s">
        <v>26</v>
      </c>
      <c r="K522" t="s">
        <v>32</v>
      </c>
      <c r="L522" s="3">
        <v>44</v>
      </c>
      <c r="M522" s="3" t="str" cm="1">
        <f t="array" ref="M522">_xlfn.IFS(
L522&gt;=65,"Retirement Age",
AND(L522&lt;65,L522&gt;=40),"Middle Aged",
AND(L522&lt;40,L522&gt;=30),"In the 30s",
L522&lt;30,"Below 30")</f>
        <v>Middle Aged</v>
      </c>
      <c r="N522" t="s">
        <v>18</v>
      </c>
    </row>
    <row r="523" spans="1:14" x14ac:dyDescent="0.25">
      <c r="A523">
        <v>18976</v>
      </c>
      <c r="B523" t="s">
        <v>37</v>
      </c>
      <c r="C523" t="s">
        <v>38</v>
      </c>
      <c r="D523" s="1">
        <v>40000</v>
      </c>
      <c r="E523" s="3">
        <v>4</v>
      </c>
      <c r="F523" t="s">
        <v>27</v>
      </c>
      <c r="G523" t="s">
        <v>21</v>
      </c>
      <c r="H523" t="s">
        <v>15</v>
      </c>
      <c r="I523" s="3">
        <v>2</v>
      </c>
      <c r="J523" t="s">
        <v>45</v>
      </c>
      <c r="K523" t="s">
        <v>32</v>
      </c>
      <c r="L523" s="3">
        <v>62</v>
      </c>
      <c r="M523" s="3" t="str" cm="1">
        <f t="array" ref="M523">_xlfn.IFS(
L523&gt;=65,"Retirement Age",
AND(L523&lt;65,L523&gt;=40),"Middle Aged",
AND(L523&lt;40,L523&gt;=30),"In the 30s",
L523&lt;30,"Below 30")</f>
        <v>Middle Aged</v>
      </c>
      <c r="N523" t="s">
        <v>15</v>
      </c>
    </row>
    <row r="524" spans="1:14" x14ac:dyDescent="0.25">
      <c r="A524">
        <v>19413</v>
      </c>
      <c r="B524" t="s">
        <v>37</v>
      </c>
      <c r="C524" t="s">
        <v>38</v>
      </c>
      <c r="D524" s="1">
        <v>60000</v>
      </c>
      <c r="E524" s="3">
        <v>3</v>
      </c>
      <c r="F524" t="s">
        <v>13</v>
      </c>
      <c r="G524" t="s">
        <v>21</v>
      </c>
      <c r="H524" t="s">
        <v>18</v>
      </c>
      <c r="I524" s="3">
        <v>1</v>
      </c>
      <c r="J524" t="s">
        <v>16</v>
      </c>
      <c r="K524" t="s">
        <v>32</v>
      </c>
      <c r="L524" s="3">
        <v>47</v>
      </c>
      <c r="M524" s="3" t="str" cm="1">
        <f t="array" ref="M524">_xlfn.IFS(
L524&gt;=65,"Retirement Age",
AND(L524&lt;65,L524&gt;=40),"Middle Aged",
AND(L524&lt;40,L524&gt;=30),"In the 30s",
L524&lt;30,"Below 30")</f>
        <v>Middle Aged</v>
      </c>
      <c r="N524" t="s">
        <v>15</v>
      </c>
    </row>
    <row r="525" spans="1:14" x14ac:dyDescent="0.25">
      <c r="A525">
        <v>13283</v>
      </c>
      <c r="B525" t="s">
        <v>36</v>
      </c>
      <c r="C525" t="s">
        <v>38</v>
      </c>
      <c r="D525" s="1">
        <v>80000</v>
      </c>
      <c r="E525" s="3">
        <v>3</v>
      </c>
      <c r="F525" t="s">
        <v>19</v>
      </c>
      <c r="G525" t="s">
        <v>21</v>
      </c>
      <c r="H525" t="s">
        <v>18</v>
      </c>
      <c r="I525" s="3">
        <v>2</v>
      </c>
      <c r="J525" t="s">
        <v>16</v>
      </c>
      <c r="K525" t="s">
        <v>32</v>
      </c>
      <c r="L525" s="3">
        <v>49</v>
      </c>
      <c r="M525" s="3" t="str" cm="1">
        <f t="array" ref="M525">_xlfn.IFS(
L525&gt;=65,"Retirement Age",
AND(L525&lt;65,L525&gt;=40),"Middle Aged",
AND(L525&lt;40,L525&gt;=30),"In the 30s",
L525&lt;30,"Below 30")</f>
        <v>Middle Aged</v>
      </c>
      <c r="N525" t="s">
        <v>15</v>
      </c>
    </row>
    <row r="526" spans="1:14" x14ac:dyDescent="0.25">
      <c r="A526">
        <v>17471</v>
      </c>
      <c r="B526" t="s">
        <v>37</v>
      </c>
      <c r="C526" t="s">
        <v>39</v>
      </c>
      <c r="D526" s="1">
        <v>80000</v>
      </c>
      <c r="E526" s="3">
        <v>4</v>
      </c>
      <c r="F526" t="s">
        <v>31</v>
      </c>
      <c r="G526" t="s">
        <v>28</v>
      </c>
      <c r="H526" t="s">
        <v>15</v>
      </c>
      <c r="I526" s="3">
        <v>2</v>
      </c>
      <c r="J526" t="s">
        <v>23</v>
      </c>
      <c r="K526" t="s">
        <v>32</v>
      </c>
      <c r="L526" s="3">
        <v>67</v>
      </c>
      <c r="M526" s="3" t="str" cm="1">
        <f t="array" ref="M526">_xlfn.IFS(
L526&gt;=65,"Retirement Age",
AND(L526&lt;65,L526&gt;=40),"Middle Aged",
AND(L526&lt;40,L526&gt;=30),"In the 30s",
L526&lt;30,"Below 30")</f>
        <v>Retirement Age</v>
      </c>
      <c r="N526" t="s">
        <v>18</v>
      </c>
    </row>
    <row r="527" spans="1:14" x14ac:dyDescent="0.25">
      <c r="A527">
        <v>16791</v>
      </c>
      <c r="B527" t="s">
        <v>37</v>
      </c>
      <c r="C527" t="s">
        <v>38</v>
      </c>
      <c r="D527" s="1">
        <v>60000</v>
      </c>
      <c r="E527" s="3">
        <v>5</v>
      </c>
      <c r="F527" t="s">
        <v>13</v>
      </c>
      <c r="G527" t="s">
        <v>28</v>
      </c>
      <c r="H527" t="s">
        <v>15</v>
      </c>
      <c r="I527" s="3">
        <v>3</v>
      </c>
      <c r="J527" t="s">
        <v>45</v>
      </c>
      <c r="K527" t="s">
        <v>32</v>
      </c>
      <c r="L527" s="3">
        <v>59</v>
      </c>
      <c r="M527" s="3" t="str" cm="1">
        <f t="array" ref="M527">_xlfn.IFS(
L527&gt;=65,"Retirement Age",
AND(L527&lt;65,L527&gt;=40),"Middle Aged",
AND(L527&lt;40,L527&gt;=30),"In the 30s",
L527&lt;30,"Below 30")</f>
        <v>Middle Aged</v>
      </c>
      <c r="N527" t="s">
        <v>15</v>
      </c>
    </row>
    <row r="528" spans="1:14" x14ac:dyDescent="0.25">
      <c r="A528">
        <v>15382</v>
      </c>
      <c r="B528" t="s">
        <v>36</v>
      </c>
      <c r="C528" t="s">
        <v>39</v>
      </c>
      <c r="D528" s="1">
        <v>110000</v>
      </c>
      <c r="E528" s="3">
        <v>1</v>
      </c>
      <c r="F528" t="s">
        <v>13</v>
      </c>
      <c r="G528" t="s">
        <v>28</v>
      </c>
      <c r="H528" t="s">
        <v>15</v>
      </c>
      <c r="I528" s="3">
        <v>2</v>
      </c>
      <c r="J528" t="s">
        <v>26</v>
      </c>
      <c r="K528" t="s">
        <v>32</v>
      </c>
      <c r="L528" s="3">
        <v>44</v>
      </c>
      <c r="M528" s="3" t="str" cm="1">
        <f t="array" ref="M528">_xlfn.IFS(
L528&gt;=65,"Retirement Age",
AND(L528&lt;65,L528&gt;=40),"Middle Aged",
AND(L528&lt;40,L528&gt;=30),"In the 30s",
L528&lt;30,"Below 30")</f>
        <v>Middle Aged</v>
      </c>
      <c r="N528" t="s">
        <v>18</v>
      </c>
    </row>
    <row r="529" spans="1:14" x14ac:dyDescent="0.25">
      <c r="A529">
        <v>11641</v>
      </c>
      <c r="B529" t="s">
        <v>36</v>
      </c>
      <c r="C529" t="s">
        <v>38</v>
      </c>
      <c r="D529" s="1">
        <v>50000</v>
      </c>
      <c r="E529" s="3">
        <v>1</v>
      </c>
      <c r="F529" t="s">
        <v>13</v>
      </c>
      <c r="G529" t="s">
        <v>14</v>
      </c>
      <c r="H529" t="s">
        <v>15</v>
      </c>
      <c r="I529" s="3">
        <v>0</v>
      </c>
      <c r="J529" t="s">
        <v>16</v>
      </c>
      <c r="K529" t="s">
        <v>32</v>
      </c>
      <c r="L529" s="3">
        <v>36</v>
      </c>
      <c r="M529" s="3" t="str" cm="1">
        <f t="array" ref="M529">_xlfn.IFS(
L529&gt;=65,"Retirement Age",
AND(L529&lt;65,L529&gt;=40),"Middle Aged",
AND(L529&lt;40,L529&gt;=30),"In the 30s",
L529&lt;30,"Below 30")</f>
        <v>In the 30s</v>
      </c>
      <c r="N529" t="s">
        <v>18</v>
      </c>
    </row>
    <row r="530" spans="1:14" x14ac:dyDescent="0.25">
      <c r="A530">
        <v>11935</v>
      </c>
      <c r="B530" t="s">
        <v>37</v>
      </c>
      <c r="C530" t="s">
        <v>39</v>
      </c>
      <c r="D530" s="1">
        <v>30000</v>
      </c>
      <c r="E530" s="3">
        <v>0</v>
      </c>
      <c r="F530" t="s">
        <v>19</v>
      </c>
      <c r="G530" t="s">
        <v>14</v>
      </c>
      <c r="H530" t="s">
        <v>15</v>
      </c>
      <c r="I530" s="3">
        <v>1</v>
      </c>
      <c r="J530" t="s">
        <v>23</v>
      </c>
      <c r="K530" t="s">
        <v>32</v>
      </c>
      <c r="L530" s="3">
        <v>28</v>
      </c>
      <c r="M530" s="3" t="str" cm="1">
        <f t="array" ref="M530">_xlfn.IFS(
L530&gt;=65,"Retirement Age",
AND(L530&lt;65,L530&gt;=40),"Middle Aged",
AND(L530&lt;40,L530&gt;=30),"In the 30s",
L530&lt;30,"Below 30")</f>
        <v>Below 30</v>
      </c>
      <c r="N530" t="s">
        <v>18</v>
      </c>
    </row>
    <row r="531" spans="1:14" x14ac:dyDescent="0.25">
      <c r="A531">
        <v>13233</v>
      </c>
      <c r="B531" t="s">
        <v>36</v>
      </c>
      <c r="C531" t="s">
        <v>38</v>
      </c>
      <c r="D531" s="1">
        <v>60000</v>
      </c>
      <c r="E531" s="3">
        <v>2</v>
      </c>
      <c r="F531" t="s">
        <v>19</v>
      </c>
      <c r="G531" t="s">
        <v>21</v>
      </c>
      <c r="H531" t="s">
        <v>15</v>
      </c>
      <c r="I531" s="3">
        <v>1</v>
      </c>
      <c r="J531" t="s">
        <v>45</v>
      </c>
      <c r="K531" t="s">
        <v>32</v>
      </c>
      <c r="L531" s="3">
        <v>57</v>
      </c>
      <c r="M531" s="3" t="str" cm="1">
        <f t="array" ref="M531">_xlfn.IFS(
L531&gt;=65,"Retirement Age",
AND(L531&lt;65,L531&gt;=40),"Middle Aged",
AND(L531&lt;40,L531&gt;=30),"In the 30s",
L531&lt;30,"Below 30")</f>
        <v>Middle Aged</v>
      </c>
      <c r="N531" t="s">
        <v>15</v>
      </c>
    </row>
    <row r="532" spans="1:14" x14ac:dyDescent="0.25">
      <c r="A532">
        <v>25909</v>
      </c>
      <c r="B532" t="s">
        <v>36</v>
      </c>
      <c r="C532" t="s">
        <v>38</v>
      </c>
      <c r="D532" s="1">
        <v>60000</v>
      </c>
      <c r="E532" s="3">
        <v>0</v>
      </c>
      <c r="F532" t="s">
        <v>19</v>
      </c>
      <c r="G532" t="s">
        <v>14</v>
      </c>
      <c r="H532" t="s">
        <v>15</v>
      </c>
      <c r="I532" s="3">
        <v>1</v>
      </c>
      <c r="J532" t="s">
        <v>23</v>
      </c>
      <c r="K532" t="s">
        <v>32</v>
      </c>
      <c r="L532" s="3">
        <v>27</v>
      </c>
      <c r="M532" s="3" t="str" cm="1">
        <f t="array" ref="M532">_xlfn.IFS(
L532&gt;=65,"Retirement Age",
AND(L532&lt;65,L532&gt;=40),"Middle Aged",
AND(L532&lt;40,L532&gt;=30),"In the 30s",
L532&lt;30,"Below 30")</f>
        <v>Below 30</v>
      </c>
      <c r="N532" t="s">
        <v>15</v>
      </c>
    </row>
    <row r="533" spans="1:14" x14ac:dyDescent="0.25">
      <c r="A533">
        <v>14092</v>
      </c>
      <c r="B533" t="s">
        <v>37</v>
      </c>
      <c r="C533" t="s">
        <v>38</v>
      </c>
      <c r="D533" s="1">
        <v>30000</v>
      </c>
      <c r="E533" s="3">
        <v>0</v>
      </c>
      <c r="F533" t="s">
        <v>29</v>
      </c>
      <c r="G533" t="s">
        <v>20</v>
      </c>
      <c r="H533" t="s">
        <v>15</v>
      </c>
      <c r="I533" s="3">
        <v>2</v>
      </c>
      <c r="J533" t="s">
        <v>23</v>
      </c>
      <c r="K533" t="s">
        <v>32</v>
      </c>
      <c r="L533" s="3">
        <v>28</v>
      </c>
      <c r="M533" s="3" t="str" cm="1">
        <f t="array" ref="M533">_xlfn.IFS(
L533&gt;=65,"Retirement Age",
AND(L533&lt;65,L533&gt;=40),"Middle Aged",
AND(L533&lt;40,L533&gt;=30),"In the 30s",
L533&lt;30,"Below 30")</f>
        <v>Below 30</v>
      </c>
      <c r="N533" t="s">
        <v>18</v>
      </c>
    </row>
    <row r="534" spans="1:14" x14ac:dyDescent="0.25">
      <c r="A534">
        <v>29143</v>
      </c>
      <c r="B534" t="s">
        <v>37</v>
      </c>
      <c r="C534" t="s">
        <v>39</v>
      </c>
      <c r="D534" s="1">
        <v>60000</v>
      </c>
      <c r="E534" s="3">
        <v>1</v>
      </c>
      <c r="F534" t="s">
        <v>13</v>
      </c>
      <c r="G534" t="s">
        <v>21</v>
      </c>
      <c r="H534" t="s">
        <v>18</v>
      </c>
      <c r="I534" s="3">
        <v>1</v>
      </c>
      <c r="J534" t="s">
        <v>16</v>
      </c>
      <c r="K534" t="s">
        <v>32</v>
      </c>
      <c r="L534" s="3">
        <v>44</v>
      </c>
      <c r="M534" s="3" t="str" cm="1">
        <f t="array" ref="M534">_xlfn.IFS(
L534&gt;=65,"Retirement Age",
AND(L534&lt;65,L534&gt;=40),"Middle Aged",
AND(L534&lt;40,L534&gt;=30),"In the 30s",
L534&lt;30,"Below 30")</f>
        <v>Middle Aged</v>
      </c>
      <c r="N534" t="s">
        <v>15</v>
      </c>
    </row>
    <row r="535" spans="1:14" x14ac:dyDescent="0.25">
      <c r="A535">
        <v>24941</v>
      </c>
      <c r="B535" t="s">
        <v>36</v>
      </c>
      <c r="C535" t="s">
        <v>38</v>
      </c>
      <c r="D535" s="1">
        <v>60000</v>
      </c>
      <c r="E535" s="3">
        <v>3</v>
      </c>
      <c r="F535" t="s">
        <v>13</v>
      </c>
      <c r="G535" t="s">
        <v>28</v>
      </c>
      <c r="H535" t="s">
        <v>15</v>
      </c>
      <c r="I535" s="3">
        <v>2</v>
      </c>
      <c r="J535" t="s">
        <v>45</v>
      </c>
      <c r="K535" t="s">
        <v>32</v>
      </c>
      <c r="L535" s="3">
        <v>66</v>
      </c>
      <c r="M535" s="3" t="str" cm="1">
        <f t="array" ref="M535">_xlfn.IFS(
L535&gt;=65,"Retirement Age",
AND(L535&lt;65,L535&gt;=40),"Middle Aged",
AND(L535&lt;40,L535&gt;=30),"In the 30s",
L535&lt;30,"Below 30")</f>
        <v>Retirement Age</v>
      </c>
      <c r="N535" t="s">
        <v>18</v>
      </c>
    </row>
    <row r="536" spans="1:14" x14ac:dyDescent="0.25">
      <c r="A536">
        <v>24637</v>
      </c>
      <c r="B536" t="s">
        <v>36</v>
      </c>
      <c r="C536" t="s">
        <v>38</v>
      </c>
      <c r="D536" s="1">
        <v>40000</v>
      </c>
      <c r="E536" s="3">
        <v>4</v>
      </c>
      <c r="F536" t="s">
        <v>27</v>
      </c>
      <c r="G536" t="s">
        <v>21</v>
      </c>
      <c r="H536" t="s">
        <v>15</v>
      </c>
      <c r="I536" s="3">
        <v>2</v>
      </c>
      <c r="J536" t="s">
        <v>45</v>
      </c>
      <c r="K536" t="s">
        <v>32</v>
      </c>
      <c r="L536" s="3">
        <v>64</v>
      </c>
      <c r="M536" s="3" t="str" cm="1">
        <f t="array" ref="M536">_xlfn.IFS(
L536&gt;=65,"Retirement Age",
AND(L536&lt;65,L536&gt;=40),"Middle Aged",
AND(L536&lt;40,L536&gt;=30),"In the 30s",
L536&lt;30,"Below 30")</f>
        <v>Middle Aged</v>
      </c>
      <c r="N536" t="s">
        <v>18</v>
      </c>
    </row>
    <row r="537" spans="1:14" x14ac:dyDescent="0.25">
      <c r="A537">
        <v>23893</v>
      </c>
      <c r="B537" t="s">
        <v>36</v>
      </c>
      <c r="C537" t="s">
        <v>38</v>
      </c>
      <c r="D537" s="1">
        <v>50000</v>
      </c>
      <c r="E537" s="3">
        <v>3</v>
      </c>
      <c r="F537" t="s">
        <v>13</v>
      </c>
      <c r="G537" t="s">
        <v>14</v>
      </c>
      <c r="H537" t="s">
        <v>15</v>
      </c>
      <c r="I537" s="3">
        <v>3</v>
      </c>
      <c r="J537" t="s">
        <v>45</v>
      </c>
      <c r="K537" t="s">
        <v>32</v>
      </c>
      <c r="L537" s="3">
        <v>41</v>
      </c>
      <c r="M537" s="3" t="str" cm="1">
        <f t="array" ref="M537">_xlfn.IFS(
L537&gt;=65,"Retirement Age",
AND(L537&lt;65,L537&gt;=40),"Middle Aged",
AND(L537&lt;40,L537&gt;=30),"In the 30s",
L537&lt;30,"Below 30")</f>
        <v>Middle Aged</v>
      </c>
      <c r="N537" t="s">
        <v>18</v>
      </c>
    </row>
    <row r="538" spans="1:14" x14ac:dyDescent="0.25">
      <c r="A538">
        <v>13907</v>
      </c>
      <c r="B538" t="s">
        <v>37</v>
      </c>
      <c r="C538" t="s">
        <v>39</v>
      </c>
      <c r="D538" s="1">
        <v>80000</v>
      </c>
      <c r="E538" s="3">
        <v>3</v>
      </c>
      <c r="F538" t="s">
        <v>13</v>
      </c>
      <c r="G538" t="s">
        <v>14</v>
      </c>
      <c r="H538" t="s">
        <v>15</v>
      </c>
      <c r="I538" s="3">
        <v>1</v>
      </c>
      <c r="J538" t="s">
        <v>16</v>
      </c>
      <c r="K538" t="s">
        <v>32</v>
      </c>
      <c r="L538" s="3">
        <v>41</v>
      </c>
      <c r="M538" s="3" t="str" cm="1">
        <f t="array" ref="M538">_xlfn.IFS(
L538&gt;=65,"Retirement Age",
AND(L538&lt;65,L538&gt;=40),"Middle Aged",
AND(L538&lt;40,L538&gt;=30),"In the 30s",
L538&lt;30,"Below 30")</f>
        <v>Middle Aged</v>
      </c>
      <c r="N538" t="s">
        <v>15</v>
      </c>
    </row>
    <row r="539" spans="1:14" x14ac:dyDescent="0.25">
      <c r="A539">
        <v>14900</v>
      </c>
      <c r="B539" t="s">
        <v>36</v>
      </c>
      <c r="C539" t="s">
        <v>39</v>
      </c>
      <c r="D539" s="1">
        <v>40000</v>
      </c>
      <c r="E539" s="3">
        <v>1</v>
      </c>
      <c r="F539" t="s">
        <v>19</v>
      </c>
      <c r="G539" t="s">
        <v>20</v>
      </c>
      <c r="H539" t="s">
        <v>15</v>
      </c>
      <c r="I539" s="3">
        <v>1</v>
      </c>
      <c r="J539" t="s">
        <v>26</v>
      </c>
      <c r="K539" t="s">
        <v>32</v>
      </c>
      <c r="L539" s="3">
        <v>49</v>
      </c>
      <c r="M539" s="3" t="str" cm="1">
        <f t="array" ref="M539">_xlfn.IFS(
L539&gt;=65,"Retirement Age",
AND(L539&lt;65,L539&gt;=40),"Middle Aged",
AND(L539&lt;40,L539&gt;=30),"In the 30s",
L539&lt;30,"Below 30")</f>
        <v>Middle Aged</v>
      </c>
      <c r="N539" t="s">
        <v>15</v>
      </c>
    </row>
    <row r="540" spans="1:14" x14ac:dyDescent="0.25">
      <c r="A540">
        <v>11262</v>
      </c>
      <c r="B540" t="s">
        <v>36</v>
      </c>
      <c r="C540" t="s">
        <v>39</v>
      </c>
      <c r="D540" s="1">
        <v>80000</v>
      </c>
      <c r="E540" s="3">
        <v>4</v>
      </c>
      <c r="F540" t="s">
        <v>13</v>
      </c>
      <c r="G540" t="s">
        <v>28</v>
      </c>
      <c r="H540" t="s">
        <v>15</v>
      </c>
      <c r="I540" s="3">
        <v>0</v>
      </c>
      <c r="J540" t="s">
        <v>16</v>
      </c>
      <c r="K540" t="s">
        <v>32</v>
      </c>
      <c r="L540" s="3">
        <v>42</v>
      </c>
      <c r="M540" s="3" t="str" cm="1">
        <f t="array" ref="M540">_xlfn.IFS(
L540&gt;=65,"Retirement Age",
AND(L540&lt;65,L540&gt;=40),"Middle Aged",
AND(L540&lt;40,L540&gt;=30),"In the 30s",
L540&lt;30,"Below 30")</f>
        <v>Middle Aged</v>
      </c>
      <c r="N540" t="s">
        <v>18</v>
      </c>
    </row>
    <row r="541" spans="1:14" x14ac:dyDescent="0.25">
      <c r="A541">
        <v>22294</v>
      </c>
      <c r="B541" t="s">
        <v>37</v>
      </c>
      <c r="C541" t="s">
        <v>39</v>
      </c>
      <c r="D541" s="1">
        <v>70000</v>
      </c>
      <c r="E541" s="3">
        <v>0</v>
      </c>
      <c r="F541" t="s">
        <v>13</v>
      </c>
      <c r="G541" t="s">
        <v>21</v>
      </c>
      <c r="H541" t="s">
        <v>18</v>
      </c>
      <c r="I541" s="3">
        <v>1</v>
      </c>
      <c r="J541" t="s">
        <v>22</v>
      </c>
      <c r="K541" t="s">
        <v>32</v>
      </c>
      <c r="L541" s="3">
        <v>37</v>
      </c>
      <c r="M541" s="3" t="str" cm="1">
        <f t="array" ref="M541">_xlfn.IFS(
L541&gt;=65,"Retirement Age",
AND(L541&lt;65,L541&gt;=40),"Middle Aged",
AND(L541&lt;40,L541&gt;=30),"In the 30s",
L541&lt;30,"Below 30")</f>
        <v>In the 30s</v>
      </c>
      <c r="N541" t="s">
        <v>15</v>
      </c>
    </row>
    <row r="542" spans="1:14" x14ac:dyDescent="0.25">
      <c r="A542">
        <v>12195</v>
      </c>
      <c r="B542" t="s">
        <v>37</v>
      </c>
      <c r="C542" t="s">
        <v>39</v>
      </c>
      <c r="D542" s="1">
        <v>70000</v>
      </c>
      <c r="E542" s="3">
        <v>3</v>
      </c>
      <c r="F542" t="s">
        <v>31</v>
      </c>
      <c r="G542" t="s">
        <v>28</v>
      </c>
      <c r="H542" t="s">
        <v>15</v>
      </c>
      <c r="I542" s="3">
        <v>2</v>
      </c>
      <c r="J542" t="s">
        <v>26</v>
      </c>
      <c r="K542" t="s">
        <v>32</v>
      </c>
      <c r="L542" s="3">
        <v>52</v>
      </c>
      <c r="M542" s="3" t="str" cm="1">
        <f t="array" ref="M542">_xlfn.IFS(
L542&gt;=65,"Retirement Age",
AND(L542&lt;65,L542&gt;=40),"Middle Aged",
AND(L542&lt;40,L542&gt;=30),"In the 30s",
L542&lt;30,"Below 30")</f>
        <v>Middle Aged</v>
      </c>
      <c r="N542" t="s">
        <v>18</v>
      </c>
    </row>
    <row r="543" spans="1:14" x14ac:dyDescent="0.25">
      <c r="A543">
        <v>25375</v>
      </c>
      <c r="B543" t="s">
        <v>36</v>
      </c>
      <c r="C543" t="s">
        <v>38</v>
      </c>
      <c r="D543" s="1">
        <v>50000</v>
      </c>
      <c r="E543" s="3">
        <v>1</v>
      </c>
      <c r="F543" t="s">
        <v>31</v>
      </c>
      <c r="G543" t="s">
        <v>14</v>
      </c>
      <c r="H543" t="s">
        <v>15</v>
      </c>
      <c r="I543" s="3">
        <v>0</v>
      </c>
      <c r="J543" t="s">
        <v>26</v>
      </c>
      <c r="K543" t="s">
        <v>32</v>
      </c>
      <c r="L543" s="3">
        <v>34</v>
      </c>
      <c r="M543" s="3" t="str" cm="1">
        <f t="array" ref="M543">_xlfn.IFS(
L543&gt;=65,"Retirement Age",
AND(L543&lt;65,L543&gt;=40),"Middle Aged",
AND(L543&lt;40,L543&gt;=30),"In the 30s",
L543&lt;30,"Below 30")</f>
        <v>In the 30s</v>
      </c>
      <c r="N543" t="s">
        <v>18</v>
      </c>
    </row>
    <row r="544" spans="1:14" x14ac:dyDescent="0.25">
      <c r="A544">
        <v>11143</v>
      </c>
      <c r="B544" t="s">
        <v>36</v>
      </c>
      <c r="C544" t="s">
        <v>38</v>
      </c>
      <c r="D544" s="1">
        <v>40000</v>
      </c>
      <c r="E544" s="3">
        <v>0</v>
      </c>
      <c r="F544" t="s">
        <v>27</v>
      </c>
      <c r="G544" t="s">
        <v>14</v>
      </c>
      <c r="H544" t="s">
        <v>15</v>
      </c>
      <c r="I544" s="3">
        <v>2</v>
      </c>
      <c r="J544" t="s">
        <v>23</v>
      </c>
      <c r="K544" t="s">
        <v>32</v>
      </c>
      <c r="L544" s="3">
        <v>29</v>
      </c>
      <c r="M544" s="3" t="str" cm="1">
        <f t="array" ref="M544">_xlfn.IFS(
L544&gt;=65,"Retirement Age",
AND(L544&lt;65,L544&gt;=40),"Middle Aged",
AND(L544&lt;40,L544&gt;=30),"In the 30s",
L544&lt;30,"Below 30")</f>
        <v>Below 30</v>
      </c>
      <c r="N544" t="s">
        <v>18</v>
      </c>
    </row>
    <row r="545" spans="1:14" x14ac:dyDescent="0.25">
      <c r="A545">
        <v>25898</v>
      </c>
      <c r="B545" t="s">
        <v>36</v>
      </c>
      <c r="C545" t="s">
        <v>39</v>
      </c>
      <c r="D545" s="1">
        <v>70000</v>
      </c>
      <c r="E545" s="3">
        <v>2</v>
      </c>
      <c r="F545" t="s">
        <v>27</v>
      </c>
      <c r="G545" t="s">
        <v>21</v>
      </c>
      <c r="H545" t="s">
        <v>15</v>
      </c>
      <c r="I545" s="3">
        <v>2</v>
      </c>
      <c r="J545" t="s">
        <v>22</v>
      </c>
      <c r="K545" t="s">
        <v>32</v>
      </c>
      <c r="L545" s="3">
        <v>53</v>
      </c>
      <c r="M545" s="3" t="str" cm="1">
        <f t="array" ref="M545">_xlfn.IFS(
L545&gt;=65,"Retirement Age",
AND(L545&lt;65,L545&gt;=40),"Middle Aged",
AND(L545&lt;40,L545&gt;=30),"In the 30s",
L545&lt;30,"Below 30")</f>
        <v>Middle Aged</v>
      </c>
      <c r="N545" t="s">
        <v>18</v>
      </c>
    </row>
    <row r="546" spans="1:14" x14ac:dyDescent="0.25">
      <c r="A546">
        <v>24397</v>
      </c>
      <c r="B546" t="s">
        <v>37</v>
      </c>
      <c r="C546" t="s">
        <v>38</v>
      </c>
      <c r="D546" s="1">
        <v>120000</v>
      </c>
      <c r="E546" s="3">
        <v>2</v>
      </c>
      <c r="F546" t="s">
        <v>13</v>
      </c>
      <c r="G546" t="s">
        <v>28</v>
      </c>
      <c r="H546" t="s">
        <v>18</v>
      </c>
      <c r="I546" s="3">
        <v>4</v>
      </c>
      <c r="J546" t="s">
        <v>26</v>
      </c>
      <c r="K546" t="s">
        <v>32</v>
      </c>
      <c r="L546" s="3">
        <v>40</v>
      </c>
      <c r="M546" s="3" t="str" cm="1">
        <f t="array" ref="M546">_xlfn.IFS(
L546&gt;=65,"Retirement Age",
AND(L546&lt;65,L546&gt;=40),"Middle Aged",
AND(L546&lt;40,L546&gt;=30),"In the 30s",
L546&lt;30,"Below 30")</f>
        <v>Middle Aged</v>
      </c>
      <c r="N546" t="s">
        <v>18</v>
      </c>
    </row>
    <row r="547" spans="1:14" x14ac:dyDescent="0.25">
      <c r="A547">
        <v>19758</v>
      </c>
      <c r="B547" t="s">
        <v>37</v>
      </c>
      <c r="C547" t="s">
        <v>38</v>
      </c>
      <c r="D547" s="1">
        <v>60000</v>
      </c>
      <c r="E547" s="3">
        <v>0</v>
      </c>
      <c r="F547" t="s">
        <v>19</v>
      </c>
      <c r="G547" t="s">
        <v>14</v>
      </c>
      <c r="H547" t="s">
        <v>18</v>
      </c>
      <c r="I547" s="3">
        <v>2</v>
      </c>
      <c r="J547" t="s">
        <v>26</v>
      </c>
      <c r="K547" t="s">
        <v>32</v>
      </c>
      <c r="L547" s="3">
        <v>29</v>
      </c>
      <c r="M547" s="3" t="str" cm="1">
        <f t="array" ref="M547">_xlfn.IFS(
L547&gt;=65,"Retirement Age",
AND(L547&lt;65,L547&gt;=40),"Middle Aged",
AND(L547&lt;40,L547&gt;=30),"In the 30s",
L547&lt;30,"Below 30")</f>
        <v>Below 30</v>
      </c>
      <c r="N547" t="s">
        <v>18</v>
      </c>
    </row>
    <row r="548" spans="1:14" x14ac:dyDescent="0.25">
      <c r="A548">
        <v>15529</v>
      </c>
      <c r="B548" t="s">
        <v>36</v>
      </c>
      <c r="C548" t="s">
        <v>38</v>
      </c>
      <c r="D548" s="1">
        <v>60000</v>
      </c>
      <c r="E548" s="3">
        <v>4</v>
      </c>
      <c r="F548" t="s">
        <v>13</v>
      </c>
      <c r="G548" t="s">
        <v>21</v>
      </c>
      <c r="H548" t="s">
        <v>15</v>
      </c>
      <c r="I548" s="3">
        <v>2</v>
      </c>
      <c r="J548" t="s">
        <v>22</v>
      </c>
      <c r="K548" t="s">
        <v>32</v>
      </c>
      <c r="L548" s="3">
        <v>43</v>
      </c>
      <c r="M548" s="3" t="str" cm="1">
        <f t="array" ref="M548">_xlfn.IFS(
L548&gt;=65,"Retirement Age",
AND(L548&lt;65,L548&gt;=40),"Middle Aged",
AND(L548&lt;40,L548&gt;=30),"In the 30s",
L548&lt;30,"Below 30")</f>
        <v>Middle Aged</v>
      </c>
      <c r="N548" t="s">
        <v>15</v>
      </c>
    </row>
    <row r="549" spans="1:14" x14ac:dyDescent="0.25">
      <c r="A549">
        <v>19884</v>
      </c>
      <c r="B549" t="s">
        <v>36</v>
      </c>
      <c r="C549" t="s">
        <v>38</v>
      </c>
      <c r="D549" s="1">
        <v>60000</v>
      </c>
      <c r="E549" s="3">
        <v>2</v>
      </c>
      <c r="F549" t="s">
        <v>27</v>
      </c>
      <c r="G549" t="s">
        <v>21</v>
      </c>
      <c r="H549" t="s">
        <v>15</v>
      </c>
      <c r="I549" s="3">
        <v>2</v>
      </c>
      <c r="J549" t="s">
        <v>22</v>
      </c>
      <c r="K549" t="s">
        <v>32</v>
      </c>
      <c r="L549" s="3">
        <v>55</v>
      </c>
      <c r="M549" s="3" t="str" cm="1">
        <f t="array" ref="M549">_xlfn.IFS(
L549&gt;=65,"Retirement Age",
AND(L549&lt;65,L549&gt;=40),"Middle Aged",
AND(L549&lt;40,L549&gt;=30),"In the 30s",
L549&lt;30,"Below 30")</f>
        <v>Middle Aged</v>
      </c>
      <c r="N549" t="s">
        <v>15</v>
      </c>
    </row>
    <row r="550" spans="1:14" x14ac:dyDescent="0.25">
      <c r="A550">
        <v>18674</v>
      </c>
      <c r="B550" t="s">
        <v>37</v>
      </c>
      <c r="C550" t="s">
        <v>39</v>
      </c>
      <c r="D550" s="1">
        <v>80000</v>
      </c>
      <c r="E550" s="3">
        <v>4</v>
      </c>
      <c r="F550" t="s">
        <v>31</v>
      </c>
      <c r="G550" t="s">
        <v>14</v>
      </c>
      <c r="H550" t="s">
        <v>18</v>
      </c>
      <c r="I550" s="3">
        <v>0</v>
      </c>
      <c r="J550" t="s">
        <v>16</v>
      </c>
      <c r="K550" t="s">
        <v>32</v>
      </c>
      <c r="L550" s="3">
        <v>48</v>
      </c>
      <c r="M550" s="3" t="str" cm="1">
        <f t="array" ref="M550">_xlfn.IFS(
L550&gt;=65,"Retirement Age",
AND(L550&lt;65,L550&gt;=40),"Middle Aged",
AND(L550&lt;40,L550&gt;=30),"In the 30s",
L550&lt;30,"Below 30")</f>
        <v>Middle Aged</v>
      </c>
      <c r="N550" t="s">
        <v>18</v>
      </c>
    </row>
    <row r="551" spans="1:14" x14ac:dyDescent="0.25">
      <c r="A551">
        <v>13453</v>
      </c>
      <c r="B551" t="s">
        <v>36</v>
      </c>
      <c r="C551" t="s">
        <v>39</v>
      </c>
      <c r="D551" s="1">
        <v>130000</v>
      </c>
      <c r="E551" s="3">
        <v>3</v>
      </c>
      <c r="F551" t="s">
        <v>13</v>
      </c>
      <c r="G551" t="s">
        <v>28</v>
      </c>
      <c r="H551" t="s">
        <v>15</v>
      </c>
      <c r="I551" s="3">
        <v>3</v>
      </c>
      <c r="J551" t="s">
        <v>16</v>
      </c>
      <c r="K551" t="s">
        <v>32</v>
      </c>
      <c r="L551" s="3">
        <v>45</v>
      </c>
      <c r="M551" s="3" t="str" cm="1">
        <f t="array" ref="M551">_xlfn.IFS(
L551&gt;=65,"Retirement Age",
AND(L551&lt;65,L551&gt;=40),"Middle Aged",
AND(L551&lt;40,L551&gt;=30),"In the 30s",
L551&lt;30,"Below 30")</f>
        <v>Middle Aged</v>
      </c>
      <c r="N551" t="s">
        <v>15</v>
      </c>
    </row>
    <row r="552" spans="1:14" x14ac:dyDescent="0.25">
      <c r="A552">
        <v>14063</v>
      </c>
      <c r="B552" t="s">
        <v>37</v>
      </c>
      <c r="C552" t="s">
        <v>39</v>
      </c>
      <c r="D552" s="1">
        <v>70000</v>
      </c>
      <c r="E552" s="3">
        <v>0</v>
      </c>
      <c r="F552" t="s">
        <v>13</v>
      </c>
      <c r="G552" t="s">
        <v>21</v>
      </c>
      <c r="H552" t="s">
        <v>18</v>
      </c>
      <c r="I552" s="3">
        <v>1</v>
      </c>
      <c r="J552" t="s">
        <v>16</v>
      </c>
      <c r="K552" t="s">
        <v>24</v>
      </c>
      <c r="L552" s="3">
        <v>42</v>
      </c>
      <c r="M552" s="3" t="str" cm="1">
        <f t="array" ref="M552">_xlfn.IFS(
L552&gt;=65,"Retirement Age",
AND(L552&lt;65,L552&gt;=40),"Middle Aged",
AND(L552&lt;40,L552&gt;=30),"In the 30s",
L552&lt;30,"Below 30")</f>
        <v>Middle Aged</v>
      </c>
      <c r="N552" t="s">
        <v>15</v>
      </c>
    </row>
    <row r="553" spans="1:14" x14ac:dyDescent="0.25">
      <c r="A553">
        <v>27393</v>
      </c>
      <c r="B553" t="s">
        <v>36</v>
      </c>
      <c r="C553" t="s">
        <v>39</v>
      </c>
      <c r="D553" s="1">
        <v>50000</v>
      </c>
      <c r="E553" s="3">
        <v>4</v>
      </c>
      <c r="F553" t="s">
        <v>13</v>
      </c>
      <c r="G553" t="s">
        <v>28</v>
      </c>
      <c r="H553" t="s">
        <v>15</v>
      </c>
      <c r="I553" s="3">
        <v>2</v>
      </c>
      <c r="J553" t="s">
        <v>45</v>
      </c>
      <c r="K553" t="s">
        <v>32</v>
      </c>
      <c r="L553" s="3">
        <v>63</v>
      </c>
      <c r="M553" s="3" t="str" cm="1">
        <f t="array" ref="M553">_xlfn.IFS(
L553&gt;=65,"Retirement Age",
AND(L553&lt;65,L553&gt;=40),"Middle Aged",
AND(L553&lt;40,L553&gt;=30),"In the 30s",
L553&lt;30,"Below 30")</f>
        <v>Middle Aged</v>
      </c>
      <c r="N553" t="s">
        <v>18</v>
      </c>
    </row>
    <row r="554" spans="1:14" x14ac:dyDescent="0.25">
      <c r="A554">
        <v>14417</v>
      </c>
      <c r="B554" t="s">
        <v>37</v>
      </c>
      <c r="C554" t="s">
        <v>38</v>
      </c>
      <c r="D554" s="1">
        <v>60000</v>
      </c>
      <c r="E554" s="3">
        <v>3</v>
      </c>
      <c r="F554" t="s">
        <v>27</v>
      </c>
      <c r="G554" t="s">
        <v>21</v>
      </c>
      <c r="H554" t="s">
        <v>15</v>
      </c>
      <c r="I554" s="3">
        <v>2</v>
      </c>
      <c r="J554" t="s">
        <v>45</v>
      </c>
      <c r="K554" t="s">
        <v>32</v>
      </c>
      <c r="L554" s="3">
        <v>54</v>
      </c>
      <c r="M554" s="3" t="str" cm="1">
        <f t="array" ref="M554">_xlfn.IFS(
L554&gt;=65,"Retirement Age",
AND(L554&lt;65,L554&gt;=40),"Middle Aged",
AND(L554&lt;40,L554&gt;=30),"In the 30s",
L554&lt;30,"Below 30")</f>
        <v>Middle Aged</v>
      </c>
      <c r="N554" t="s">
        <v>15</v>
      </c>
    </row>
    <row r="555" spans="1:14" x14ac:dyDescent="0.25">
      <c r="A555">
        <v>17533</v>
      </c>
      <c r="B555" t="s">
        <v>36</v>
      </c>
      <c r="C555" t="s">
        <v>38</v>
      </c>
      <c r="D555" s="1">
        <v>40000</v>
      </c>
      <c r="E555" s="3">
        <v>3</v>
      </c>
      <c r="F555" t="s">
        <v>19</v>
      </c>
      <c r="G555" t="s">
        <v>21</v>
      </c>
      <c r="H555" t="s">
        <v>18</v>
      </c>
      <c r="I555" s="3">
        <v>2</v>
      </c>
      <c r="J555" t="s">
        <v>23</v>
      </c>
      <c r="K555" t="s">
        <v>32</v>
      </c>
      <c r="L555" s="3">
        <v>73</v>
      </c>
      <c r="M555" s="3" t="str" cm="1">
        <f t="array" ref="M555">_xlfn.IFS(
L555&gt;=65,"Retirement Age",
AND(L555&lt;65,L555&gt;=40),"Middle Aged",
AND(L555&lt;40,L555&gt;=30),"In the 30s",
L555&lt;30,"Below 30")</f>
        <v>Retirement Age</v>
      </c>
      <c r="N555" t="s">
        <v>15</v>
      </c>
    </row>
    <row r="556" spans="1:14" x14ac:dyDescent="0.25">
      <c r="A556">
        <v>18580</v>
      </c>
      <c r="B556" t="s">
        <v>36</v>
      </c>
      <c r="C556" t="s">
        <v>39</v>
      </c>
      <c r="D556" s="1">
        <v>60000</v>
      </c>
      <c r="E556" s="3">
        <v>2</v>
      </c>
      <c r="F556" t="s">
        <v>31</v>
      </c>
      <c r="G556" t="s">
        <v>21</v>
      </c>
      <c r="H556" t="s">
        <v>15</v>
      </c>
      <c r="I556" s="3">
        <v>0</v>
      </c>
      <c r="J556" t="s">
        <v>22</v>
      </c>
      <c r="K556" t="s">
        <v>32</v>
      </c>
      <c r="L556" s="3">
        <v>40</v>
      </c>
      <c r="M556" s="3" t="str" cm="1">
        <f t="array" ref="M556">_xlfn.IFS(
L556&gt;=65,"Retirement Age",
AND(L556&lt;65,L556&gt;=40),"Middle Aged",
AND(L556&lt;40,L556&gt;=30),"In the 30s",
L556&lt;30,"Below 30")</f>
        <v>Middle Aged</v>
      </c>
      <c r="N556" t="s">
        <v>15</v>
      </c>
    </row>
    <row r="557" spans="1:14" x14ac:dyDescent="0.25">
      <c r="A557">
        <v>17025</v>
      </c>
      <c r="B557" t="s">
        <v>37</v>
      </c>
      <c r="C557" t="s">
        <v>38</v>
      </c>
      <c r="D557" s="1">
        <v>50000</v>
      </c>
      <c r="E557" s="3">
        <v>0</v>
      </c>
      <c r="F557" t="s">
        <v>19</v>
      </c>
      <c r="G557" t="s">
        <v>14</v>
      </c>
      <c r="H557" t="s">
        <v>18</v>
      </c>
      <c r="I557" s="3">
        <v>1</v>
      </c>
      <c r="J557" t="s">
        <v>22</v>
      </c>
      <c r="K557" t="s">
        <v>32</v>
      </c>
      <c r="L557" s="3">
        <v>39</v>
      </c>
      <c r="M557" s="3" t="str" cm="1">
        <f t="array" ref="M557">_xlfn.IFS(
L557&gt;=65,"Retirement Age",
AND(L557&lt;65,L557&gt;=40),"Middle Aged",
AND(L557&lt;40,L557&gt;=30),"In the 30s",
L557&lt;30,"Below 30")</f>
        <v>In the 30s</v>
      </c>
      <c r="N557" t="s">
        <v>15</v>
      </c>
    </row>
    <row r="558" spans="1:14" x14ac:dyDescent="0.25">
      <c r="A558">
        <v>25293</v>
      </c>
      <c r="B558" t="s">
        <v>36</v>
      </c>
      <c r="C558" t="s">
        <v>38</v>
      </c>
      <c r="D558" s="1">
        <v>80000</v>
      </c>
      <c r="E558" s="3">
        <v>4</v>
      </c>
      <c r="F558" t="s">
        <v>13</v>
      </c>
      <c r="G558" t="s">
        <v>28</v>
      </c>
      <c r="H558" t="s">
        <v>15</v>
      </c>
      <c r="I558" s="3">
        <v>0</v>
      </c>
      <c r="J558" t="s">
        <v>26</v>
      </c>
      <c r="K558" t="s">
        <v>32</v>
      </c>
      <c r="L558" s="3">
        <v>42</v>
      </c>
      <c r="M558" s="3" t="str" cm="1">
        <f t="array" ref="M558">_xlfn.IFS(
L558&gt;=65,"Retirement Age",
AND(L558&lt;65,L558&gt;=40),"Middle Aged",
AND(L558&lt;40,L558&gt;=30),"In the 30s",
L558&lt;30,"Below 30")</f>
        <v>Middle Aged</v>
      </c>
      <c r="N558" t="s">
        <v>18</v>
      </c>
    </row>
    <row r="559" spans="1:14" x14ac:dyDescent="0.25">
      <c r="A559">
        <v>24725</v>
      </c>
      <c r="B559" t="s">
        <v>36</v>
      </c>
      <c r="C559" t="s">
        <v>39</v>
      </c>
      <c r="D559" s="1">
        <v>40000</v>
      </c>
      <c r="E559" s="3">
        <v>3</v>
      </c>
      <c r="F559" t="s">
        <v>19</v>
      </c>
      <c r="G559" t="s">
        <v>20</v>
      </c>
      <c r="H559" t="s">
        <v>15</v>
      </c>
      <c r="I559" s="3">
        <v>0</v>
      </c>
      <c r="J559" t="s">
        <v>26</v>
      </c>
      <c r="K559" t="s">
        <v>32</v>
      </c>
      <c r="L559" s="3">
        <v>31</v>
      </c>
      <c r="M559" s="3" t="str" cm="1">
        <f t="array" ref="M559">_xlfn.IFS(
L559&gt;=65,"Retirement Age",
AND(L559&lt;65,L559&gt;=40),"Middle Aged",
AND(L559&lt;40,L559&gt;=30),"In the 30s",
L559&lt;30,"Below 30")</f>
        <v>In the 30s</v>
      </c>
      <c r="N559" t="s">
        <v>18</v>
      </c>
    </row>
    <row r="560" spans="1:14" x14ac:dyDescent="0.25">
      <c r="A560">
        <v>23200</v>
      </c>
      <c r="B560" t="s">
        <v>36</v>
      </c>
      <c r="C560" t="s">
        <v>39</v>
      </c>
      <c r="D560" s="1">
        <v>50000</v>
      </c>
      <c r="E560" s="3">
        <v>3</v>
      </c>
      <c r="F560" t="s">
        <v>13</v>
      </c>
      <c r="G560" t="s">
        <v>14</v>
      </c>
      <c r="H560" t="s">
        <v>15</v>
      </c>
      <c r="I560" s="3">
        <v>2</v>
      </c>
      <c r="J560" t="s">
        <v>16</v>
      </c>
      <c r="K560" t="s">
        <v>32</v>
      </c>
      <c r="L560" s="3">
        <v>41</v>
      </c>
      <c r="M560" s="3" t="str" cm="1">
        <f t="array" ref="M560">_xlfn.IFS(
L560&gt;=65,"Retirement Age",
AND(L560&lt;65,L560&gt;=40),"Middle Aged",
AND(L560&lt;40,L560&gt;=30),"In the 30s",
L560&lt;30,"Below 30")</f>
        <v>Middle Aged</v>
      </c>
      <c r="N560" t="s">
        <v>18</v>
      </c>
    </row>
    <row r="561" spans="1:14" x14ac:dyDescent="0.25">
      <c r="A561">
        <v>15895</v>
      </c>
      <c r="B561" t="s">
        <v>37</v>
      </c>
      <c r="C561" t="s">
        <v>39</v>
      </c>
      <c r="D561" s="1">
        <v>60000</v>
      </c>
      <c r="E561" s="3">
        <v>2</v>
      </c>
      <c r="F561" t="s">
        <v>13</v>
      </c>
      <c r="G561" t="s">
        <v>28</v>
      </c>
      <c r="H561" t="s">
        <v>15</v>
      </c>
      <c r="I561" s="3">
        <v>0</v>
      </c>
      <c r="J561" t="s">
        <v>45</v>
      </c>
      <c r="K561" t="s">
        <v>32</v>
      </c>
      <c r="L561" s="3">
        <v>58</v>
      </c>
      <c r="M561" s="3" t="str" cm="1">
        <f t="array" ref="M561">_xlfn.IFS(
L561&gt;=65,"Retirement Age",
AND(L561&lt;65,L561&gt;=40),"Middle Aged",
AND(L561&lt;40,L561&gt;=30),"In the 30s",
L561&lt;30,"Below 30")</f>
        <v>Middle Aged</v>
      </c>
      <c r="N561" t="s">
        <v>18</v>
      </c>
    </row>
    <row r="562" spans="1:14" x14ac:dyDescent="0.25">
      <c r="A562">
        <v>18577</v>
      </c>
      <c r="B562" t="s">
        <v>36</v>
      </c>
      <c r="C562" t="s">
        <v>39</v>
      </c>
      <c r="D562" s="1">
        <v>60000</v>
      </c>
      <c r="E562" s="3">
        <v>0</v>
      </c>
      <c r="F562" t="s">
        <v>31</v>
      </c>
      <c r="G562" t="s">
        <v>21</v>
      </c>
      <c r="H562" t="s">
        <v>15</v>
      </c>
      <c r="I562" s="3">
        <v>0</v>
      </c>
      <c r="J562" t="s">
        <v>16</v>
      </c>
      <c r="K562" t="s">
        <v>32</v>
      </c>
      <c r="L562" s="3">
        <v>40</v>
      </c>
      <c r="M562" s="3" t="str" cm="1">
        <f t="array" ref="M562">_xlfn.IFS(
L562&gt;=65,"Retirement Age",
AND(L562&lt;65,L562&gt;=40),"Middle Aged",
AND(L562&lt;40,L562&gt;=30),"In the 30s",
L562&lt;30,"Below 30")</f>
        <v>Middle Aged</v>
      </c>
      <c r="N562" t="s">
        <v>18</v>
      </c>
    </row>
    <row r="563" spans="1:14" x14ac:dyDescent="0.25">
      <c r="A563">
        <v>27218</v>
      </c>
      <c r="B563" t="s">
        <v>36</v>
      </c>
      <c r="C563" t="s">
        <v>39</v>
      </c>
      <c r="D563" s="1">
        <v>20000</v>
      </c>
      <c r="E563" s="3">
        <v>2</v>
      </c>
      <c r="F563" t="s">
        <v>29</v>
      </c>
      <c r="G563" t="s">
        <v>20</v>
      </c>
      <c r="H563" t="s">
        <v>18</v>
      </c>
      <c r="I563" s="3">
        <v>0</v>
      </c>
      <c r="J563" t="s">
        <v>16</v>
      </c>
      <c r="K563" t="s">
        <v>32</v>
      </c>
      <c r="L563" s="3">
        <v>48</v>
      </c>
      <c r="M563" s="3" t="str" cm="1">
        <f t="array" ref="M563">_xlfn.IFS(
L563&gt;=65,"Retirement Age",
AND(L563&lt;65,L563&gt;=40),"Middle Aged",
AND(L563&lt;40,L563&gt;=30),"In the 30s",
L563&lt;30,"Below 30")</f>
        <v>Middle Aged</v>
      </c>
      <c r="N563" t="s">
        <v>18</v>
      </c>
    </row>
    <row r="564" spans="1:14" x14ac:dyDescent="0.25">
      <c r="A564">
        <v>18560</v>
      </c>
      <c r="B564" t="s">
        <v>36</v>
      </c>
      <c r="C564" t="s">
        <v>39</v>
      </c>
      <c r="D564" s="1">
        <v>70000</v>
      </c>
      <c r="E564" s="3">
        <v>2</v>
      </c>
      <c r="F564" t="s">
        <v>31</v>
      </c>
      <c r="G564" t="s">
        <v>21</v>
      </c>
      <c r="H564" t="s">
        <v>15</v>
      </c>
      <c r="I564" s="3">
        <v>0</v>
      </c>
      <c r="J564" t="s">
        <v>22</v>
      </c>
      <c r="K564" t="s">
        <v>32</v>
      </c>
      <c r="L564" s="3">
        <v>34</v>
      </c>
      <c r="M564" s="3" t="str" cm="1">
        <f t="array" ref="M564">_xlfn.IFS(
L564&gt;=65,"Retirement Age",
AND(L564&lt;65,L564&gt;=40),"Middle Aged",
AND(L564&lt;40,L564&gt;=30),"In the 30s",
L564&lt;30,"Below 30")</f>
        <v>In the 30s</v>
      </c>
      <c r="N564" t="s">
        <v>15</v>
      </c>
    </row>
    <row r="565" spans="1:14" x14ac:dyDescent="0.25">
      <c r="A565">
        <v>25006</v>
      </c>
      <c r="B565" t="s">
        <v>37</v>
      </c>
      <c r="C565" t="s">
        <v>39</v>
      </c>
      <c r="D565" s="1">
        <v>30000</v>
      </c>
      <c r="E565" s="3">
        <v>0</v>
      </c>
      <c r="F565" t="s">
        <v>19</v>
      </c>
      <c r="G565" t="s">
        <v>14</v>
      </c>
      <c r="H565" t="s">
        <v>15</v>
      </c>
      <c r="I565" s="3">
        <v>1</v>
      </c>
      <c r="J565" t="s">
        <v>23</v>
      </c>
      <c r="K565" t="s">
        <v>32</v>
      </c>
      <c r="L565" s="3">
        <v>28</v>
      </c>
      <c r="M565" s="3" t="str" cm="1">
        <f t="array" ref="M565">_xlfn.IFS(
L565&gt;=65,"Retirement Age",
AND(L565&lt;65,L565&gt;=40),"Middle Aged",
AND(L565&lt;40,L565&gt;=30),"In the 30s",
L565&lt;30,"Below 30")</f>
        <v>Below 30</v>
      </c>
      <c r="N565" t="s">
        <v>18</v>
      </c>
    </row>
    <row r="566" spans="1:14" x14ac:dyDescent="0.25">
      <c r="A566">
        <v>17369</v>
      </c>
      <c r="B566" t="s">
        <v>37</v>
      </c>
      <c r="C566" t="s">
        <v>38</v>
      </c>
      <c r="D566" s="1">
        <v>30000</v>
      </c>
      <c r="E566" s="3">
        <v>0</v>
      </c>
      <c r="F566" t="s">
        <v>19</v>
      </c>
      <c r="G566" t="s">
        <v>14</v>
      </c>
      <c r="H566" t="s">
        <v>15</v>
      </c>
      <c r="I566" s="3">
        <v>1</v>
      </c>
      <c r="J566" t="s">
        <v>23</v>
      </c>
      <c r="K566" t="s">
        <v>32</v>
      </c>
      <c r="L566" s="3">
        <v>27</v>
      </c>
      <c r="M566" s="3" t="str" cm="1">
        <f t="array" ref="M566">_xlfn.IFS(
L566&gt;=65,"Retirement Age",
AND(L566&lt;65,L566&gt;=40),"Middle Aged",
AND(L566&lt;40,L566&gt;=30),"In the 30s",
L566&lt;30,"Below 30")</f>
        <v>Below 30</v>
      </c>
      <c r="N566" t="s">
        <v>18</v>
      </c>
    </row>
    <row r="567" spans="1:14" x14ac:dyDescent="0.25">
      <c r="A567">
        <v>14495</v>
      </c>
      <c r="B567" t="s">
        <v>36</v>
      </c>
      <c r="C567" t="s">
        <v>38</v>
      </c>
      <c r="D567" s="1">
        <v>40000</v>
      </c>
      <c r="E567" s="3">
        <v>3</v>
      </c>
      <c r="F567" t="s">
        <v>19</v>
      </c>
      <c r="G567" t="s">
        <v>21</v>
      </c>
      <c r="H567" t="s">
        <v>18</v>
      </c>
      <c r="I567" s="3">
        <v>2</v>
      </c>
      <c r="J567" t="s">
        <v>23</v>
      </c>
      <c r="K567" t="s">
        <v>32</v>
      </c>
      <c r="L567" s="3">
        <v>54</v>
      </c>
      <c r="M567" s="3" t="str" cm="1">
        <f t="array" ref="M567">_xlfn.IFS(
L567&gt;=65,"Retirement Age",
AND(L567&lt;65,L567&gt;=40),"Middle Aged",
AND(L567&lt;40,L567&gt;=30),"In the 30s",
L567&lt;30,"Below 30")</f>
        <v>Middle Aged</v>
      </c>
      <c r="N567" t="s">
        <v>15</v>
      </c>
    </row>
    <row r="568" spans="1:14" x14ac:dyDescent="0.25">
      <c r="A568">
        <v>18847</v>
      </c>
      <c r="B568" t="s">
        <v>36</v>
      </c>
      <c r="C568" t="s">
        <v>39</v>
      </c>
      <c r="D568" s="1">
        <v>60000</v>
      </c>
      <c r="E568" s="3">
        <v>2</v>
      </c>
      <c r="F568" t="s">
        <v>31</v>
      </c>
      <c r="G568" t="s">
        <v>28</v>
      </c>
      <c r="H568" t="s">
        <v>15</v>
      </c>
      <c r="I568" s="3">
        <v>2</v>
      </c>
      <c r="J568" t="s">
        <v>23</v>
      </c>
      <c r="K568" t="s">
        <v>32</v>
      </c>
      <c r="L568" s="3">
        <v>70</v>
      </c>
      <c r="M568" s="3" t="str" cm="1">
        <f t="array" ref="M568">_xlfn.IFS(
L568&gt;=65,"Retirement Age",
AND(L568&lt;65,L568&gt;=40),"Middle Aged",
AND(L568&lt;40,L568&gt;=30),"In the 30s",
L568&lt;30,"Below 30")</f>
        <v>Retirement Age</v>
      </c>
      <c r="N568" t="s">
        <v>18</v>
      </c>
    </row>
    <row r="569" spans="1:14" x14ac:dyDescent="0.25">
      <c r="A569">
        <v>14754</v>
      </c>
      <c r="B569" t="s">
        <v>36</v>
      </c>
      <c r="C569" t="s">
        <v>38</v>
      </c>
      <c r="D569" s="1">
        <v>40000</v>
      </c>
      <c r="E569" s="3">
        <v>1</v>
      </c>
      <c r="F569" t="s">
        <v>19</v>
      </c>
      <c r="G569" t="s">
        <v>20</v>
      </c>
      <c r="H569" t="s">
        <v>15</v>
      </c>
      <c r="I569" s="3">
        <v>1</v>
      </c>
      <c r="J569" t="s">
        <v>26</v>
      </c>
      <c r="K569" t="s">
        <v>32</v>
      </c>
      <c r="L569" s="3">
        <v>48</v>
      </c>
      <c r="M569" s="3" t="str" cm="1">
        <f t="array" ref="M569">_xlfn.IFS(
L569&gt;=65,"Retirement Age",
AND(L569&lt;65,L569&gt;=40),"Middle Aged",
AND(L569&lt;40,L569&gt;=30),"In the 30s",
L569&lt;30,"Below 30")</f>
        <v>Middle Aged</v>
      </c>
      <c r="N569" t="s">
        <v>15</v>
      </c>
    </row>
    <row r="570" spans="1:14" x14ac:dyDescent="0.25">
      <c r="A570">
        <v>23378</v>
      </c>
      <c r="B570" t="s">
        <v>36</v>
      </c>
      <c r="C570" t="s">
        <v>38</v>
      </c>
      <c r="D570" s="1">
        <v>70000</v>
      </c>
      <c r="E570" s="3">
        <v>1</v>
      </c>
      <c r="F570" t="s">
        <v>19</v>
      </c>
      <c r="G570" t="s">
        <v>14</v>
      </c>
      <c r="H570" t="s">
        <v>15</v>
      </c>
      <c r="I570" s="3">
        <v>1</v>
      </c>
      <c r="J570" t="s">
        <v>22</v>
      </c>
      <c r="K570" t="s">
        <v>32</v>
      </c>
      <c r="L570" s="3">
        <v>44</v>
      </c>
      <c r="M570" s="3" t="str" cm="1">
        <f t="array" ref="M570">_xlfn.IFS(
L570&gt;=65,"Retirement Age",
AND(L570&lt;65,L570&gt;=40),"Middle Aged",
AND(L570&lt;40,L570&gt;=30),"In the 30s",
L570&lt;30,"Below 30")</f>
        <v>Middle Aged</v>
      </c>
      <c r="N570" t="s">
        <v>15</v>
      </c>
    </row>
    <row r="571" spans="1:14" x14ac:dyDescent="0.25">
      <c r="A571">
        <v>26452</v>
      </c>
      <c r="B571" t="s">
        <v>37</v>
      </c>
      <c r="C571" t="s">
        <v>38</v>
      </c>
      <c r="D571" s="1">
        <v>50000</v>
      </c>
      <c r="E571" s="3">
        <v>3</v>
      </c>
      <c r="F571" t="s">
        <v>31</v>
      </c>
      <c r="G571" t="s">
        <v>28</v>
      </c>
      <c r="H571" t="s">
        <v>15</v>
      </c>
      <c r="I571" s="3">
        <v>2</v>
      </c>
      <c r="J571" t="s">
        <v>45</v>
      </c>
      <c r="K571" t="s">
        <v>32</v>
      </c>
      <c r="L571" s="3">
        <v>69</v>
      </c>
      <c r="M571" s="3" t="str" cm="1">
        <f t="array" ref="M571">_xlfn.IFS(
L571&gt;=65,"Retirement Age",
AND(L571&lt;65,L571&gt;=40),"Middle Aged",
AND(L571&lt;40,L571&gt;=30),"In the 30s",
L571&lt;30,"Below 30")</f>
        <v>Retirement Age</v>
      </c>
      <c r="N571" t="s">
        <v>18</v>
      </c>
    </row>
    <row r="572" spans="1:14" x14ac:dyDescent="0.25">
      <c r="A572">
        <v>20370</v>
      </c>
      <c r="B572" t="s">
        <v>36</v>
      </c>
      <c r="C572" t="s">
        <v>38</v>
      </c>
      <c r="D572" s="1">
        <v>70000</v>
      </c>
      <c r="E572" s="3">
        <v>3</v>
      </c>
      <c r="F572" t="s">
        <v>29</v>
      </c>
      <c r="G572" t="s">
        <v>14</v>
      </c>
      <c r="H572" t="s">
        <v>15</v>
      </c>
      <c r="I572" s="3">
        <v>2</v>
      </c>
      <c r="J572" t="s">
        <v>23</v>
      </c>
      <c r="K572" t="s">
        <v>32</v>
      </c>
      <c r="L572" s="3">
        <v>52</v>
      </c>
      <c r="M572" s="3" t="str" cm="1">
        <f t="array" ref="M572">_xlfn.IFS(
L572&gt;=65,"Retirement Age",
AND(L572&lt;65,L572&gt;=40),"Middle Aged",
AND(L572&lt;40,L572&gt;=30),"In the 30s",
L572&lt;30,"Below 30")</f>
        <v>Middle Aged</v>
      </c>
      <c r="N572" t="s">
        <v>18</v>
      </c>
    </row>
    <row r="573" spans="1:14" x14ac:dyDescent="0.25">
      <c r="A573">
        <v>20528</v>
      </c>
      <c r="B573" t="s">
        <v>36</v>
      </c>
      <c r="C573" t="s">
        <v>38</v>
      </c>
      <c r="D573" s="1">
        <v>40000</v>
      </c>
      <c r="E573" s="3">
        <v>2</v>
      </c>
      <c r="F573" t="s">
        <v>29</v>
      </c>
      <c r="G573" t="s">
        <v>14</v>
      </c>
      <c r="H573" t="s">
        <v>15</v>
      </c>
      <c r="I573" s="3">
        <v>2</v>
      </c>
      <c r="J573" t="s">
        <v>22</v>
      </c>
      <c r="K573" t="s">
        <v>32</v>
      </c>
      <c r="L573" s="3">
        <v>55</v>
      </c>
      <c r="M573" s="3" t="str" cm="1">
        <f t="array" ref="M573">_xlfn.IFS(
L573&gt;=65,"Retirement Age",
AND(L573&lt;65,L573&gt;=40),"Middle Aged",
AND(L573&lt;40,L573&gt;=30),"In the 30s",
L573&lt;30,"Below 30")</f>
        <v>Middle Aged</v>
      </c>
      <c r="N573" t="s">
        <v>18</v>
      </c>
    </row>
    <row r="574" spans="1:14" x14ac:dyDescent="0.25">
      <c r="A574">
        <v>23549</v>
      </c>
      <c r="B574" t="s">
        <v>37</v>
      </c>
      <c r="C574" t="s">
        <v>38</v>
      </c>
      <c r="D574" s="1">
        <v>30000</v>
      </c>
      <c r="E574" s="3">
        <v>0</v>
      </c>
      <c r="F574" t="s">
        <v>27</v>
      </c>
      <c r="G574" t="s">
        <v>14</v>
      </c>
      <c r="H574" t="s">
        <v>15</v>
      </c>
      <c r="I574" s="3">
        <v>2</v>
      </c>
      <c r="J574" t="s">
        <v>23</v>
      </c>
      <c r="K574" t="s">
        <v>32</v>
      </c>
      <c r="L574" s="3">
        <v>30</v>
      </c>
      <c r="M574" s="3" t="str" cm="1">
        <f t="array" ref="M574">_xlfn.IFS(
L574&gt;=65,"Retirement Age",
AND(L574&lt;65,L574&gt;=40),"Middle Aged",
AND(L574&lt;40,L574&gt;=30),"In the 30s",
L574&lt;30,"Below 30")</f>
        <v>In the 30s</v>
      </c>
      <c r="N574" t="s">
        <v>18</v>
      </c>
    </row>
    <row r="575" spans="1:14" x14ac:dyDescent="0.25">
      <c r="A575">
        <v>21751</v>
      </c>
      <c r="B575" t="s">
        <v>36</v>
      </c>
      <c r="C575" t="s">
        <v>38</v>
      </c>
      <c r="D575" s="1">
        <v>60000</v>
      </c>
      <c r="E575" s="3">
        <v>3</v>
      </c>
      <c r="F575" t="s">
        <v>31</v>
      </c>
      <c r="G575" t="s">
        <v>28</v>
      </c>
      <c r="H575" t="s">
        <v>15</v>
      </c>
      <c r="I575" s="3">
        <v>2</v>
      </c>
      <c r="J575" t="s">
        <v>26</v>
      </c>
      <c r="K575" t="s">
        <v>32</v>
      </c>
      <c r="L575" s="3">
        <v>63</v>
      </c>
      <c r="M575" s="3" t="str" cm="1">
        <f t="array" ref="M575">_xlfn.IFS(
L575&gt;=65,"Retirement Age",
AND(L575&lt;65,L575&gt;=40),"Middle Aged",
AND(L575&lt;40,L575&gt;=30),"In the 30s",
L575&lt;30,"Below 30")</f>
        <v>Middle Aged</v>
      </c>
      <c r="N575" t="s">
        <v>18</v>
      </c>
    </row>
    <row r="576" spans="1:14" x14ac:dyDescent="0.25">
      <c r="A576">
        <v>21266</v>
      </c>
      <c r="B576" t="s">
        <v>37</v>
      </c>
      <c r="C576" t="s">
        <v>39</v>
      </c>
      <c r="D576" s="1">
        <v>80000</v>
      </c>
      <c r="E576" s="3">
        <v>0</v>
      </c>
      <c r="F576" t="s">
        <v>13</v>
      </c>
      <c r="G576" t="s">
        <v>28</v>
      </c>
      <c r="H576" t="s">
        <v>15</v>
      </c>
      <c r="I576" s="3">
        <v>1</v>
      </c>
      <c r="J576" t="s">
        <v>26</v>
      </c>
      <c r="K576" t="s">
        <v>32</v>
      </c>
      <c r="L576" s="3">
        <v>34</v>
      </c>
      <c r="M576" s="3" t="str" cm="1">
        <f t="array" ref="M576">_xlfn.IFS(
L576&gt;=65,"Retirement Age",
AND(L576&lt;65,L576&gt;=40),"Middle Aged",
AND(L576&lt;40,L576&gt;=30),"In the 30s",
L576&lt;30,"Below 30")</f>
        <v>In the 30s</v>
      </c>
      <c r="N576" t="s">
        <v>15</v>
      </c>
    </row>
    <row r="577" spans="1:14" x14ac:dyDescent="0.25">
      <c r="A577">
        <v>13388</v>
      </c>
      <c r="B577" t="s">
        <v>37</v>
      </c>
      <c r="C577" t="s">
        <v>38</v>
      </c>
      <c r="D577" s="1">
        <v>60000</v>
      </c>
      <c r="E577" s="3">
        <v>2</v>
      </c>
      <c r="F577" t="s">
        <v>19</v>
      </c>
      <c r="G577" t="s">
        <v>21</v>
      </c>
      <c r="H577" t="s">
        <v>15</v>
      </c>
      <c r="I577" s="3">
        <v>1</v>
      </c>
      <c r="J577" t="s">
        <v>45</v>
      </c>
      <c r="K577" t="s">
        <v>32</v>
      </c>
      <c r="L577" s="3">
        <v>56</v>
      </c>
      <c r="M577" s="3" t="str" cm="1">
        <f t="array" ref="M577">_xlfn.IFS(
L577&gt;=65,"Retirement Age",
AND(L577&lt;65,L577&gt;=40),"Middle Aged",
AND(L577&lt;40,L577&gt;=30),"In the 30s",
L577&lt;30,"Below 30")</f>
        <v>Middle Aged</v>
      </c>
      <c r="N577" t="s">
        <v>18</v>
      </c>
    </row>
    <row r="578" spans="1:14" x14ac:dyDescent="0.25">
      <c r="A578">
        <v>18752</v>
      </c>
      <c r="B578" t="s">
        <v>37</v>
      </c>
      <c r="C578" t="s">
        <v>39</v>
      </c>
      <c r="D578" s="1">
        <v>40000</v>
      </c>
      <c r="E578" s="3">
        <v>0</v>
      </c>
      <c r="F578" t="s">
        <v>27</v>
      </c>
      <c r="G578" t="s">
        <v>14</v>
      </c>
      <c r="H578" t="s">
        <v>15</v>
      </c>
      <c r="I578" s="3">
        <v>1</v>
      </c>
      <c r="J578" t="s">
        <v>23</v>
      </c>
      <c r="K578" t="s">
        <v>32</v>
      </c>
      <c r="L578" s="3">
        <v>31</v>
      </c>
      <c r="M578" s="3" t="str" cm="1">
        <f t="array" ref="M578">_xlfn.IFS(
L578&gt;=65,"Retirement Age",
AND(L578&lt;65,L578&gt;=40),"Middle Aged",
AND(L578&lt;40,L578&gt;=30),"In the 30s",
L578&lt;30,"Below 30")</f>
        <v>In the 30s</v>
      </c>
      <c r="N578" t="s">
        <v>18</v>
      </c>
    </row>
    <row r="579" spans="1:14" x14ac:dyDescent="0.25">
      <c r="A579">
        <v>16917</v>
      </c>
      <c r="B579" t="s">
        <v>36</v>
      </c>
      <c r="C579" t="s">
        <v>38</v>
      </c>
      <c r="D579" s="1">
        <v>120000</v>
      </c>
      <c r="E579" s="3">
        <v>1</v>
      </c>
      <c r="F579" t="s">
        <v>13</v>
      </c>
      <c r="G579" t="s">
        <v>28</v>
      </c>
      <c r="H579" t="s">
        <v>15</v>
      </c>
      <c r="I579" s="3">
        <v>4</v>
      </c>
      <c r="J579" t="s">
        <v>16</v>
      </c>
      <c r="K579" t="s">
        <v>32</v>
      </c>
      <c r="L579" s="3">
        <v>38</v>
      </c>
      <c r="M579" s="3" t="str" cm="1">
        <f t="array" ref="M579">_xlfn.IFS(
L579&gt;=65,"Retirement Age",
AND(L579&lt;65,L579&gt;=40),"Middle Aged",
AND(L579&lt;40,L579&gt;=30),"In the 30s",
L579&lt;30,"Below 30")</f>
        <v>In the 30s</v>
      </c>
      <c r="N579" t="s">
        <v>18</v>
      </c>
    </row>
    <row r="580" spans="1:14" x14ac:dyDescent="0.25">
      <c r="A580">
        <v>15313</v>
      </c>
      <c r="B580" t="s">
        <v>36</v>
      </c>
      <c r="C580" t="s">
        <v>38</v>
      </c>
      <c r="D580" s="1">
        <v>60000</v>
      </c>
      <c r="E580" s="3">
        <v>4</v>
      </c>
      <c r="F580" t="s">
        <v>13</v>
      </c>
      <c r="G580" t="s">
        <v>28</v>
      </c>
      <c r="H580" t="s">
        <v>15</v>
      </c>
      <c r="I580" s="3">
        <v>2</v>
      </c>
      <c r="J580" t="s">
        <v>22</v>
      </c>
      <c r="K580" t="s">
        <v>32</v>
      </c>
      <c r="L580" s="3">
        <v>59</v>
      </c>
      <c r="M580" s="3" t="str" cm="1">
        <f t="array" ref="M580">_xlfn.IFS(
L580&gt;=65,"Retirement Age",
AND(L580&lt;65,L580&gt;=40),"Middle Aged",
AND(L580&lt;40,L580&gt;=30),"In the 30s",
L580&lt;30,"Below 30")</f>
        <v>Middle Aged</v>
      </c>
      <c r="N580" t="s">
        <v>18</v>
      </c>
    </row>
    <row r="581" spans="1:14" x14ac:dyDescent="0.25">
      <c r="A581">
        <v>25329</v>
      </c>
      <c r="B581" t="s">
        <v>37</v>
      </c>
      <c r="C581" t="s">
        <v>39</v>
      </c>
      <c r="D581" s="1">
        <v>40000</v>
      </c>
      <c r="E581" s="3">
        <v>3</v>
      </c>
      <c r="F581" t="s">
        <v>19</v>
      </c>
      <c r="G581" t="s">
        <v>20</v>
      </c>
      <c r="H581" t="s">
        <v>18</v>
      </c>
      <c r="I581" s="3">
        <v>2</v>
      </c>
      <c r="J581" t="s">
        <v>16</v>
      </c>
      <c r="K581" t="s">
        <v>32</v>
      </c>
      <c r="L581" s="3">
        <v>32</v>
      </c>
      <c r="M581" s="3" t="str" cm="1">
        <f t="array" ref="M581">_xlfn.IFS(
L581&gt;=65,"Retirement Age",
AND(L581&lt;65,L581&gt;=40),"Middle Aged",
AND(L581&lt;40,L581&gt;=30),"In the 30s",
L581&lt;30,"Below 30")</f>
        <v>In the 30s</v>
      </c>
      <c r="N581" t="s">
        <v>18</v>
      </c>
    </row>
    <row r="582" spans="1:14" x14ac:dyDescent="0.25">
      <c r="A582">
        <v>20380</v>
      </c>
      <c r="B582" t="s">
        <v>36</v>
      </c>
      <c r="C582" t="s">
        <v>39</v>
      </c>
      <c r="D582" s="1">
        <v>60000</v>
      </c>
      <c r="E582" s="3">
        <v>3</v>
      </c>
      <c r="F582" t="s">
        <v>31</v>
      </c>
      <c r="G582" t="s">
        <v>28</v>
      </c>
      <c r="H582" t="s">
        <v>15</v>
      </c>
      <c r="I582" s="3">
        <v>2</v>
      </c>
      <c r="J582" t="s">
        <v>45</v>
      </c>
      <c r="K582" t="s">
        <v>32</v>
      </c>
      <c r="L582" s="3">
        <v>69</v>
      </c>
      <c r="M582" s="3" t="str" cm="1">
        <f t="array" ref="M582">_xlfn.IFS(
L582&gt;=65,"Retirement Age",
AND(L582&lt;65,L582&gt;=40),"Middle Aged",
AND(L582&lt;40,L582&gt;=30),"In the 30s",
L582&lt;30,"Below 30")</f>
        <v>Retirement Age</v>
      </c>
      <c r="N582" t="s">
        <v>18</v>
      </c>
    </row>
    <row r="583" spans="1:14" x14ac:dyDescent="0.25">
      <c r="A583">
        <v>23089</v>
      </c>
      <c r="B583" t="s">
        <v>36</v>
      </c>
      <c r="C583" t="s">
        <v>38</v>
      </c>
      <c r="D583" s="1">
        <v>40000</v>
      </c>
      <c r="E583" s="3">
        <v>0</v>
      </c>
      <c r="F583" t="s">
        <v>19</v>
      </c>
      <c r="G583" t="s">
        <v>14</v>
      </c>
      <c r="H583" t="s">
        <v>15</v>
      </c>
      <c r="I583" s="3">
        <v>1</v>
      </c>
      <c r="J583" t="s">
        <v>23</v>
      </c>
      <c r="K583" t="s">
        <v>32</v>
      </c>
      <c r="L583" s="3">
        <v>28</v>
      </c>
      <c r="M583" s="3" t="str" cm="1">
        <f t="array" ref="M583">_xlfn.IFS(
L583&gt;=65,"Retirement Age",
AND(L583&lt;65,L583&gt;=40),"Middle Aged",
AND(L583&lt;40,L583&gt;=30),"In the 30s",
L583&lt;30,"Below 30")</f>
        <v>Below 30</v>
      </c>
      <c r="N583" t="s">
        <v>18</v>
      </c>
    </row>
    <row r="584" spans="1:14" x14ac:dyDescent="0.25">
      <c r="A584">
        <v>13749</v>
      </c>
      <c r="B584" t="s">
        <v>36</v>
      </c>
      <c r="C584" t="s">
        <v>38</v>
      </c>
      <c r="D584" s="1">
        <v>80000</v>
      </c>
      <c r="E584" s="3">
        <v>4</v>
      </c>
      <c r="F584" t="s">
        <v>31</v>
      </c>
      <c r="G584" t="s">
        <v>14</v>
      </c>
      <c r="H584" t="s">
        <v>15</v>
      </c>
      <c r="I584" s="3">
        <v>0</v>
      </c>
      <c r="J584" t="s">
        <v>26</v>
      </c>
      <c r="K584" t="s">
        <v>32</v>
      </c>
      <c r="L584" s="3">
        <v>47</v>
      </c>
      <c r="M584" s="3" t="str" cm="1">
        <f t="array" ref="M584">_xlfn.IFS(
L584&gt;=65,"Retirement Age",
AND(L584&lt;65,L584&gt;=40),"Middle Aged",
AND(L584&lt;40,L584&gt;=30),"In the 30s",
L584&lt;30,"Below 30")</f>
        <v>Middle Aged</v>
      </c>
      <c r="N584" t="s">
        <v>18</v>
      </c>
    </row>
    <row r="585" spans="1:14" x14ac:dyDescent="0.25">
      <c r="A585">
        <v>24943</v>
      </c>
      <c r="B585" t="s">
        <v>36</v>
      </c>
      <c r="C585" t="s">
        <v>38</v>
      </c>
      <c r="D585" s="1">
        <v>60000</v>
      </c>
      <c r="E585" s="3">
        <v>3</v>
      </c>
      <c r="F585" t="s">
        <v>13</v>
      </c>
      <c r="G585" t="s">
        <v>28</v>
      </c>
      <c r="H585" t="s">
        <v>15</v>
      </c>
      <c r="I585" s="3">
        <v>2</v>
      </c>
      <c r="J585" t="s">
        <v>45</v>
      </c>
      <c r="K585" t="s">
        <v>32</v>
      </c>
      <c r="L585" s="3">
        <v>66</v>
      </c>
      <c r="M585" s="3" t="str" cm="1">
        <f t="array" ref="M585">_xlfn.IFS(
L585&gt;=65,"Retirement Age",
AND(L585&lt;65,L585&gt;=40),"Middle Aged",
AND(L585&lt;40,L585&gt;=30),"In the 30s",
L585&lt;30,"Below 30")</f>
        <v>Retirement Age</v>
      </c>
      <c r="N585" t="s">
        <v>18</v>
      </c>
    </row>
    <row r="586" spans="1:14" x14ac:dyDescent="0.25">
      <c r="A586">
        <v>28667</v>
      </c>
      <c r="B586" t="s">
        <v>37</v>
      </c>
      <c r="C586" t="s">
        <v>38</v>
      </c>
      <c r="D586" s="1">
        <v>70000</v>
      </c>
      <c r="E586" s="3">
        <v>2</v>
      </c>
      <c r="F586" t="s">
        <v>13</v>
      </c>
      <c r="G586" t="s">
        <v>14</v>
      </c>
      <c r="H586" t="s">
        <v>18</v>
      </c>
      <c r="I586" s="3">
        <v>1</v>
      </c>
      <c r="J586" t="s">
        <v>16</v>
      </c>
      <c r="K586" t="s">
        <v>32</v>
      </c>
      <c r="L586" s="3">
        <v>37</v>
      </c>
      <c r="M586" s="3" t="str" cm="1">
        <f t="array" ref="M586">_xlfn.IFS(
L586&gt;=65,"Retirement Age",
AND(L586&lt;65,L586&gt;=40),"Middle Aged",
AND(L586&lt;40,L586&gt;=30),"In the 30s",
L586&lt;30,"Below 30")</f>
        <v>In the 30s</v>
      </c>
      <c r="N586" t="s">
        <v>15</v>
      </c>
    </row>
    <row r="587" spans="1:14" x14ac:dyDescent="0.25">
      <c r="A587">
        <v>15194</v>
      </c>
      <c r="B587" t="s">
        <v>37</v>
      </c>
      <c r="C587" t="s">
        <v>38</v>
      </c>
      <c r="D587" s="1">
        <v>120000</v>
      </c>
      <c r="E587" s="3">
        <v>2</v>
      </c>
      <c r="F587" t="s">
        <v>13</v>
      </c>
      <c r="G587" t="s">
        <v>28</v>
      </c>
      <c r="H587" t="s">
        <v>18</v>
      </c>
      <c r="I587" s="3">
        <v>3</v>
      </c>
      <c r="J587" t="s">
        <v>16</v>
      </c>
      <c r="K587" t="s">
        <v>32</v>
      </c>
      <c r="L587" s="3">
        <v>39</v>
      </c>
      <c r="M587" s="3" t="str" cm="1">
        <f t="array" ref="M587">_xlfn.IFS(
L587&gt;=65,"Retirement Age",
AND(L587&lt;65,L587&gt;=40),"Middle Aged",
AND(L587&lt;40,L587&gt;=30),"In the 30s",
L587&lt;30,"Below 30")</f>
        <v>In the 30s</v>
      </c>
      <c r="N587" t="s">
        <v>15</v>
      </c>
    </row>
    <row r="588" spans="1:14" x14ac:dyDescent="0.25">
      <c r="A588">
        <v>17436</v>
      </c>
      <c r="B588" t="s">
        <v>36</v>
      </c>
      <c r="C588" t="s">
        <v>38</v>
      </c>
      <c r="D588" s="1">
        <v>60000</v>
      </c>
      <c r="E588" s="3">
        <v>2</v>
      </c>
      <c r="F588" t="s">
        <v>27</v>
      </c>
      <c r="G588" t="s">
        <v>21</v>
      </c>
      <c r="H588" t="s">
        <v>18</v>
      </c>
      <c r="I588" s="3">
        <v>2</v>
      </c>
      <c r="J588" t="s">
        <v>26</v>
      </c>
      <c r="K588" t="s">
        <v>32</v>
      </c>
      <c r="L588" s="3">
        <v>51</v>
      </c>
      <c r="M588" s="3" t="str" cm="1">
        <f t="array" ref="M588">_xlfn.IFS(
L588&gt;=65,"Retirement Age",
AND(L588&lt;65,L588&gt;=40),"Middle Aged",
AND(L588&lt;40,L588&gt;=30),"In the 30s",
L588&lt;30,"Below 30")</f>
        <v>Middle Aged</v>
      </c>
      <c r="N588" t="s">
        <v>18</v>
      </c>
    </row>
    <row r="589" spans="1:14" x14ac:dyDescent="0.25">
      <c r="A589">
        <v>18935</v>
      </c>
      <c r="B589" t="s">
        <v>36</v>
      </c>
      <c r="C589" t="s">
        <v>39</v>
      </c>
      <c r="D589" s="1">
        <v>130000</v>
      </c>
      <c r="E589" s="3">
        <v>0</v>
      </c>
      <c r="F589" t="s">
        <v>31</v>
      </c>
      <c r="G589" t="s">
        <v>28</v>
      </c>
      <c r="H589" t="s">
        <v>15</v>
      </c>
      <c r="I589" s="3">
        <v>3</v>
      </c>
      <c r="J589" t="s">
        <v>26</v>
      </c>
      <c r="K589" t="s">
        <v>32</v>
      </c>
      <c r="L589" s="3">
        <v>40</v>
      </c>
      <c r="M589" s="3" t="str" cm="1">
        <f t="array" ref="M589">_xlfn.IFS(
L589&gt;=65,"Retirement Age",
AND(L589&lt;65,L589&gt;=40),"Middle Aged",
AND(L589&lt;40,L589&gt;=30),"In the 30s",
L589&lt;30,"Below 30")</f>
        <v>Middle Aged</v>
      </c>
      <c r="N589" t="s">
        <v>18</v>
      </c>
    </row>
    <row r="590" spans="1:14" x14ac:dyDescent="0.25">
      <c r="A590">
        <v>16871</v>
      </c>
      <c r="B590" t="s">
        <v>36</v>
      </c>
      <c r="C590" t="s">
        <v>39</v>
      </c>
      <c r="D590" s="1">
        <v>90000</v>
      </c>
      <c r="E590" s="3">
        <v>2</v>
      </c>
      <c r="F590" t="s">
        <v>27</v>
      </c>
      <c r="G590" t="s">
        <v>21</v>
      </c>
      <c r="H590" t="s">
        <v>15</v>
      </c>
      <c r="I590" s="3">
        <v>1</v>
      </c>
      <c r="J590" t="s">
        <v>45</v>
      </c>
      <c r="K590" t="s">
        <v>32</v>
      </c>
      <c r="L590" s="3">
        <v>51</v>
      </c>
      <c r="M590" s="3" t="str" cm="1">
        <f t="array" ref="M590">_xlfn.IFS(
L590&gt;=65,"Retirement Age",
AND(L590&lt;65,L590&gt;=40),"Middle Aged",
AND(L590&lt;40,L590&gt;=30),"In the 30s",
L590&lt;30,"Below 30")</f>
        <v>Middle Aged</v>
      </c>
      <c r="N590" t="s">
        <v>15</v>
      </c>
    </row>
    <row r="591" spans="1:14" x14ac:dyDescent="0.25">
      <c r="A591">
        <v>12100</v>
      </c>
      <c r="B591" t="s">
        <v>37</v>
      </c>
      <c r="C591" t="s">
        <v>38</v>
      </c>
      <c r="D591" s="1">
        <v>60000</v>
      </c>
      <c r="E591" s="3">
        <v>2</v>
      </c>
      <c r="F591" t="s">
        <v>13</v>
      </c>
      <c r="G591" t="s">
        <v>28</v>
      </c>
      <c r="H591" t="s">
        <v>15</v>
      </c>
      <c r="I591" s="3">
        <v>0</v>
      </c>
      <c r="J591" t="s">
        <v>45</v>
      </c>
      <c r="K591" t="s">
        <v>32</v>
      </c>
      <c r="L591" s="3">
        <v>57</v>
      </c>
      <c r="M591" s="3" t="str" cm="1">
        <f t="array" ref="M591">_xlfn.IFS(
L591&gt;=65,"Retirement Age",
AND(L591&lt;65,L591&gt;=40),"Middle Aged",
AND(L591&lt;40,L591&gt;=30),"In the 30s",
L591&lt;30,"Below 30")</f>
        <v>Middle Aged</v>
      </c>
      <c r="N591" t="s">
        <v>18</v>
      </c>
    </row>
    <row r="592" spans="1:14" x14ac:dyDescent="0.25">
      <c r="A592">
        <v>23158</v>
      </c>
      <c r="B592" t="s">
        <v>36</v>
      </c>
      <c r="C592" t="s">
        <v>39</v>
      </c>
      <c r="D592" s="1">
        <v>60000</v>
      </c>
      <c r="E592" s="3">
        <v>1</v>
      </c>
      <c r="F592" t="s">
        <v>31</v>
      </c>
      <c r="G592" t="s">
        <v>21</v>
      </c>
      <c r="H592" t="s">
        <v>18</v>
      </c>
      <c r="I592" s="3">
        <v>0</v>
      </c>
      <c r="J592" t="s">
        <v>16</v>
      </c>
      <c r="K592" t="s">
        <v>32</v>
      </c>
      <c r="L592" s="3">
        <v>35</v>
      </c>
      <c r="M592" s="3" t="str" cm="1">
        <f t="array" ref="M592">_xlfn.IFS(
L592&gt;=65,"Retirement Age",
AND(L592&lt;65,L592&gt;=40),"Middle Aged",
AND(L592&lt;40,L592&gt;=30),"In the 30s",
L592&lt;30,"Below 30")</f>
        <v>In the 30s</v>
      </c>
      <c r="N592" t="s">
        <v>15</v>
      </c>
    </row>
    <row r="593" spans="1:14" x14ac:dyDescent="0.25">
      <c r="A593">
        <v>18545</v>
      </c>
      <c r="B593" t="s">
        <v>36</v>
      </c>
      <c r="C593" t="s">
        <v>38</v>
      </c>
      <c r="D593" s="1">
        <v>40000</v>
      </c>
      <c r="E593" s="3">
        <v>4</v>
      </c>
      <c r="F593" t="s">
        <v>27</v>
      </c>
      <c r="G593" t="s">
        <v>21</v>
      </c>
      <c r="H593" t="s">
        <v>18</v>
      </c>
      <c r="I593" s="3">
        <v>2</v>
      </c>
      <c r="J593" t="s">
        <v>45</v>
      </c>
      <c r="K593" t="s">
        <v>32</v>
      </c>
      <c r="L593" s="3">
        <v>61</v>
      </c>
      <c r="M593" s="3" t="str" cm="1">
        <f t="array" ref="M593">_xlfn.IFS(
L593&gt;=65,"Retirement Age",
AND(L593&lt;65,L593&gt;=40),"Middle Aged",
AND(L593&lt;40,L593&gt;=30),"In the 30s",
L593&lt;30,"Below 30")</f>
        <v>Middle Aged</v>
      </c>
      <c r="N593" t="s">
        <v>15</v>
      </c>
    </row>
    <row r="594" spans="1:14" x14ac:dyDescent="0.25">
      <c r="A594">
        <v>18391</v>
      </c>
      <c r="B594" t="s">
        <v>37</v>
      </c>
      <c r="C594" t="s">
        <v>39</v>
      </c>
      <c r="D594" s="1">
        <v>80000</v>
      </c>
      <c r="E594" s="3">
        <v>5</v>
      </c>
      <c r="F594" t="s">
        <v>19</v>
      </c>
      <c r="G594" t="s">
        <v>21</v>
      </c>
      <c r="H594" t="s">
        <v>15</v>
      </c>
      <c r="I594" s="3">
        <v>2</v>
      </c>
      <c r="J594" t="s">
        <v>23</v>
      </c>
      <c r="K594" t="s">
        <v>32</v>
      </c>
      <c r="L594" s="3">
        <v>44</v>
      </c>
      <c r="M594" s="3" t="str" cm="1">
        <f t="array" ref="M594">_xlfn.IFS(
L594&gt;=65,"Retirement Age",
AND(L594&lt;65,L594&gt;=40),"Middle Aged",
AND(L594&lt;40,L594&gt;=30),"In the 30s",
L594&lt;30,"Below 30")</f>
        <v>Middle Aged</v>
      </c>
      <c r="N594" t="s">
        <v>18</v>
      </c>
    </row>
    <row r="595" spans="1:14" x14ac:dyDescent="0.25">
      <c r="A595">
        <v>19812</v>
      </c>
      <c r="B595" t="s">
        <v>37</v>
      </c>
      <c r="C595" t="s">
        <v>39</v>
      </c>
      <c r="D595" s="1">
        <v>70000</v>
      </c>
      <c r="E595" s="3">
        <v>2</v>
      </c>
      <c r="F595" t="s">
        <v>19</v>
      </c>
      <c r="G595" t="s">
        <v>21</v>
      </c>
      <c r="H595" t="s">
        <v>15</v>
      </c>
      <c r="I595" s="3">
        <v>0</v>
      </c>
      <c r="J595" t="s">
        <v>23</v>
      </c>
      <c r="K595" t="s">
        <v>32</v>
      </c>
      <c r="L595" s="3">
        <v>49</v>
      </c>
      <c r="M595" s="3" t="str" cm="1">
        <f t="array" ref="M595">_xlfn.IFS(
L595&gt;=65,"Retirement Age",
AND(L595&lt;65,L595&gt;=40),"Middle Aged",
AND(L595&lt;40,L595&gt;=30),"In the 30s",
L595&lt;30,"Below 30")</f>
        <v>Middle Aged</v>
      </c>
      <c r="N595" t="s">
        <v>15</v>
      </c>
    </row>
    <row r="596" spans="1:14" x14ac:dyDescent="0.25">
      <c r="A596">
        <v>27660</v>
      </c>
      <c r="B596" t="s">
        <v>36</v>
      </c>
      <c r="C596" t="s">
        <v>38</v>
      </c>
      <c r="D596" s="1">
        <v>80000</v>
      </c>
      <c r="E596" s="3">
        <v>4</v>
      </c>
      <c r="F596" t="s">
        <v>31</v>
      </c>
      <c r="G596" t="s">
        <v>28</v>
      </c>
      <c r="H596" t="s">
        <v>15</v>
      </c>
      <c r="I596" s="3">
        <v>2</v>
      </c>
      <c r="J596" t="s">
        <v>23</v>
      </c>
      <c r="K596" t="s">
        <v>32</v>
      </c>
      <c r="L596" s="3">
        <v>70</v>
      </c>
      <c r="M596" s="3" t="str" cm="1">
        <f t="array" ref="M596">_xlfn.IFS(
L596&gt;=65,"Retirement Age",
AND(L596&lt;65,L596&gt;=40),"Middle Aged",
AND(L596&lt;40,L596&gt;=30),"In the 30s",
L596&lt;30,"Below 30")</f>
        <v>Retirement Age</v>
      </c>
      <c r="N596" t="s">
        <v>18</v>
      </c>
    </row>
    <row r="597" spans="1:14" x14ac:dyDescent="0.25">
      <c r="A597">
        <v>18058</v>
      </c>
      <c r="B597" t="s">
        <v>37</v>
      </c>
      <c r="C597" t="s">
        <v>39</v>
      </c>
      <c r="D597" s="1">
        <v>20000</v>
      </c>
      <c r="E597" s="3">
        <v>3</v>
      </c>
      <c r="F597" t="s">
        <v>27</v>
      </c>
      <c r="G597" t="s">
        <v>14</v>
      </c>
      <c r="H597" t="s">
        <v>15</v>
      </c>
      <c r="I597" s="3">
        <v>2</v>
      </c>
      <c r="J597" t="s">
        <v>22</v>
      </c>
      <c r="K597" t="s">
        <v>32</v>
      </c>
      <c r="L597" s="3">
        <v>78</v>
      </c>
      <c r="M597" s="3" t="str" cm="1">
        <f t="array" ref="M597">_xlfn.IFS(
L597&gt;=65,"Retirement Age",
AND(L597&lt;65,L597&gt;=40),"Middle Aged",
AND(L597&lt;40,L597&gt;=30),"In the 30s",
L597&lt;30,"Below 30")</f>
        <v>Retirement Age</v>
      </c>
      <c r="N597" t="s">
        <v>18</v>
      </c>
    </row>
    <row r="598" spans="1:14" x14ac:dyDescent="0.25">
      <c r="A598">
        <v>20343</v>
      </c>
      <c r="B598" t="s">
        <v>36</v>
      </c>
      <c r="C598" t="s">
        <v>39</v>
      </c>
      <c r="D598" s="1">
        <v>90000</v>
      </c>
      <c r="E598" s="3">
        <v>4</v>
      </c>
      <c r="F598" t="s">
        <v>19</v>
      </c>
      <c r="G598" t="s">
        <v>21</v>
      </c>
      <c r="H598" t="s">
        <v>15</v>
      </c>
      <c r="I598" s="3">
        <v>1</v>
      </c>
      <c r="J598" t="s">
        <v>26</v>
      </c>
      <c r="K598" t="s">
        <v>32</v>
      </c>
      <c r="L598" s="3">
        <v>45</v>
      </c>
      <c r="M598" s="3" t="str" cm="1">
        <f t="array" ref="M598">_xlfn.IFS(
L598&gt;=65,"Retirement Age",
AND(L598&lt;65,L598&gt;=40),"Middle Aged",
AND(L598&lt;40,L598&gt;=30),"In the 30s",
L598&lt;30,"Below 30")</f>
        <v>Middle Aged</v>
      </c>
      <c r="N598" t="s">
        <v>18</v>
      </c>
    </row>
    <row r="599" spans="1:14" x14ac:dyDescent="0.25">
      <c r="A599">
        <v>28997</v>
      </c>
      <c r="B599" t="s">
        <v>37</v>
      </c>
      <c r="C599" t="s">
        <v>38</v>
      </c>
      <c r="D599" s="1">
        <v>40000</v>
      </c>
      <c r="E599" s="3">
        <v>2</v>
      </c>
      <c r="F599" t="s">
        <v>27</v>
      </c>
      <c r="G599" t="s">
        <v>21</v>
      </c>
      <c r="H599" t="s">
        <v>18</v>
      </c>
      <c r="I599" s="3">
        <v>1</v>
      </c>
      <c r="J599" t="s">
        <v>22</v>
      </c>
      <c r="K599" t="s">
        <v>32</v>
      </c>
      <c r="L599" s="3">
        <v>58</v>
      </c>
      <c r="M599" s="3" t="str" cm="1">
        <f t="array" ref="M599">_xlfn.IFS(
L599&gt;=65,"Retirement Age",
AND(L599&lt;65,L599&gt;=40),"Middle Aged",
AND(L599&lt;40,L599&gt;=30),"In the 30s",
L599&lt;30,"Below 30")</f>
        <v>Middle Aged</v>
      </c>
      <c r="N599" t="s">
        <v>15</v>
      </c>
    </row>
    <row r="600" spans="1:14" x14ac:dyDescent="0.25">
      <c r="A600">
        <v>24398</v>
      </c>
      <c r="B600" t="s">
        <v>36</v>
      </c>
      <c r="C600" t="s">
        <v>38</v>
      </c>
      <c r="D600" s="1">
        <v>130000</v>
      </c>
      <c r="E600" s="3">
        <v>1</v>
      </c>
      <c r="F600" t="s">
        <v>31</v>
      </c>
      <c r="G600" t="s">
        <v>28</v>
      </c>
      <c r="H600" t="s">
        <v>15</v>
      </c>
      <c r="I600" s="3">
        <v>4</v>
      </c>
      <c r="J600" t="s">
        <v>16</v>
      </c>
      <c r="K600" t="s">
        <v>32</v>
      </c>
      <c r="L600" s="3">
        <v>41</v>
      </c>
      <c r="M600" s="3" t="str" cm="1">
        <f t="array" ref="M600">_xlfn.IFS(
L600&gt;=65,"Retirement Age",
AND(L600&lt;65,L600&gt;=40),"Middle Aged",
AND(L600&lt;40,L600&gt;=30),"In the 30s",
L600&lt;30,"Below 30")</f>
        <v>Middle Aged</v>
      </c>
      <c r="N600" t="s">
        <v>18</v>
      </c>
    </row>
    <row r="601" spans="1:14" x14ac:dyDescent="0.25">
      <c r="A601">
        <v>19002</v>
      </c>
      <c r="B601" t="s">
        <v>36</v>
      </c>
      <c r="C601" t="s">
        <v>39</v>
      </c>
      <c r="D601" s="1">
        <v>60000</v>
      </c>
      <c r="E601" s="3">
        <v>2</v>
      </c>
      <c r="F601" t="s">
        <v>19</v>
      </c>
      <c r="G601" t="s">
        <v>21</v>
      </c>
      <c r="H601" t="s">
        <v>15</v>
      </c>
      <c r="I601" s="3">
        <v>1</v>
      </c>
      <c r="J601" t="s">
        <v>22</v>
      </c>
      <c r="K601" t="s">
        <v>32</v>
      </c>
      <c r="L601" s="3">
        <v>57</v>
      </c>
      <c r="M601" s="3" t="str" cm="1">
        <f t="array" ref="M601">_xlfn.IFS(
L601&gt;=65,"Retirement Age",
AND(L601&lt;65,L601&gt;=40),"Middle Aged",
AND(L601&lt;40,L601&gt;=30),"In the 30s",
L601&lt;30,"Below 30")</f>
        <v>Middle Aged</v>
      </c>
      <c r="N601" t="s">
        <v>15</v>
      </c>
    </row>
    <row r="602" spans="1:14" x14ac:dyDescent="0.25">
      <c r="A602">
        <v>28609</v>
      </c>
      <c r="B602" t="s">
        <v>36</v>
      </c>
      <c r="C602" t="s">
        <v>38</v>
      </c>
      <c r="D602" s="1">
        <v>30000</v>
      </c>
      <c r="E602" s="3">
        <v>2</v>
      </c>
      <c r="F602" t="s">
        <v>27</v>
      </c>
      <c r="G602" t="s">
        <v>14</v>
      </c>
      <c r="H602" t="s">
        <v>18</v>
      </c>
      <c r="I602" s="3">
        <v>2</v>
      </c>
      <c r="J602" t="s">
        <v>16</v>
      </c>
      <c r="K602" t="s">
        <v>32</v>
      </c>
      <c r="L602" s="3">
        <v>49</v>
      </c>
      <c r="M602" s="3" t="str" cm="1">
        <f t="array" ref="M602">_xlfn.IFS(
L602&gt;=65,"Retirement Age",
AND(L602&lt;65,L602&gt;=40),"Middle Aged",
AND(L602&lt;40,L602&gt;=30),"In the 30s",
L602&lt;30,"Below 30")</f>
        <v>Middle Aged</v>
      </c>
      <c r="N602" t="s">
        <v>18</v>
      </c>
    </row>
    <row r="603" spans="1:14" x14ac:dyDescent="0.25">
      <c r="A603">
        <v>29231</v>
      </c>
      <c r="B603" t="s">
        <v>37</v>
      </c>
      <c r="C603" t="s">
        <v>38</v>
      </c>
      <c r="D603" s="1">
        <v>80000</v>
      </c>
      <c r="E603" s="3">
        <v>4</v>
      </c>
      <c r="F603" t="s">
        <v>19</v>
      </c>
      <c r="G603" t="s">
        <v>21</v>
      </c>
      <c r="H603" t="s">
        <v>18</v>
      </c>
      <c r="I603" s="3">
        <v>2</v>
      </c>
      <c r="J603" t="s">
        <v>16</v>
      </c>
      <c r="K603" t="s">
        <v>32</v>
      </c>
      <c r="L603" s="3">
        <v>43</v>
      </c>
      <c r="M603" s="3" t="str" cm="1">
        <f t="array" ref="M603">_xlfn.IFS(
L603&gt;=65,"Retirement Age",
AND(L603&lt;65,L603&gt;=40),"Middle Aged",
AND(L603&lt;40,L603&gt;=30),"In the 30s",
L603&lt;30,"Below 30")</f>
        <v>Middle Aged</v>
      </c>
      <c r="N603" t="s">
        <v>18</v>
      </c>
    </row>
    <row r="604" spans="1:14" x14ac:dyDescent="0.25">
      <c r="A604">
        <v>18858</v>
      </c>
      <c r="B604" t="s">
        <v>37</v>
      </c>
      <c r="C604" t="s">
        <v>38</v>
      </c>
      <c r="D604" s="1">
        <v>60000</v>
      </c>
      <c r="E604" s="3">
        <v>2</v>
      </c>
      <c r="F604" t="s">
        <v>29</v>
      </c>
      <c r="G604" t="s">
        <v>14</v>
      </c>
      <c r="H604" t="s">
        <v>15</v>
      </c>
      <c r="I604" s="3">
        <v>2</v>
      </c>
      <c r="J604" t="s">
        <v>23</v>
      </c>
      <c r="K604" t="s">
        <v>32</v>
      </c>
      <c r="L604" s="3">
        <v>52</v>
      </c>
      <c r="M604" s="3" t="str" cm="1">
        <f t="array" ref="M604">_xlfn.IFS(
L604&gt;=65,"Retirement Age",
AND(L604&lt;65,L604&gt;=40),"Middle Aged",
AND(L604&lt;40,L604&gt;=30),"In the 30s",
L604&lt;30,"Below 30")</f>
        <v>Middle Aged</v>
      </c>
      <c r="N604" t="s">
        <v>15</v>
      </c>
    </row>
    <row r="605" spans="1:14" x14ac:dyDescent="0.25">
      <c r="A605">
        <v>20000</v>
      </c>
      <c r="B605" t="s">
        <v>36</v>
      </c>
      <c r="C605" t="s">
        <v>38</v>
      </c>
      <c r="D605" s="1">
        <v>60000</v>
      </c>
      <c r="E605" s="3">
        <v>1</v>
      </c>
      <c r="F605" t="s">
        <v>31</v>
      </c>
      <c r="G605" t="s">
        <v>21</v>
      </c>
      <c r="H605" t="s">
        <v>15</v>
      </c>
      <c r="I605" s="3">
        <v>0</v>
      </c>
      <c r="J605" t="s">
        <v>16</v>
      </c>
      <c r="K605" t="s">
        <v>32</v>
      </c>
      <c r="L605" s="3">
        <v>35</v>
      </c>
      <c r="M605" s="3" t="str" cm="1">
        <f t="array" ref="M605">_xlfn.IFS(
L605&gt;=65,"Retirement Age",
AND(L605&lt;65,L605&gt;=40),"Middle Aged",
AND(L605&lt;40,L605&gt;=30),"In the 30s",
L605&lt;30,"Below 30")</f>
        <v>In the 30s</v>
      </c>
      <c r="N605" t="s">
        <v>15</v>
      </c>
    </row>
    <row r="606" spans="1:14" x14ac:dyDescent="0.25">
      <c r="A606">
        <v>25261</v>
      </c>
      <c r="B606" t="s">
        <v>36</v>
      </c>
      <c r="C606" t="s">
        <v>38</v>
      </c>
      <c r="D606" s="1">
        <v>40000</v>
      </c>
      <c r="E606" s="3">
        <v>0</v>
      </c>
      <c r="F606" t="s">
        <v>27</v>
      </c>
      <c r="G606" t="s">
        <v>14</v>
      </c>
      <c r="H606" t="s">
        <v>15</v>
      </c>
      <c r="I606" s="3">
        <v>2</v>
      </c>
      <c r="J606" t="s">
        <v>23</v>
      </c>
      <c r="K606" t="s">
        <v>32</v>
      </c>
      <c r="L606" s="3">
        <v>27</v>
      </c>
      <c r="M606" s="3" t="str" cm="1">
        <f t="array" ref="M606">_xlfn.IFS(
L606&gt;=65,"Retirement Age",
AND(L606&lt;65,L606&gt;=40),"Middle Aged",
AND(L606&lt;40,L606&gt;=30),"In the 30s",
L606&lt;30,"Below 30")</f>
        <v>Below 30</v>
      </c>
      <c r="N606" t="s">
        <v>18</v>
      </c>
    </row>
    <row r="607" spans="1:14" x14ac:dyDescent="0.25">
      <c r="A607">
        <v>17458</v>
      </c>
      <c r="B607" t="s">
        <v>37</v>
      </c>
      <c r="C607" t="s">
        <v>38</v>
      </c>
      <c r="D607" s="1">
        <v>70000</v>
      </c>
      <c r="E607" s="3">
        <v>3</v>
      </c>
      <c r="F607" t="s">
        <v>27</v>
      </c>
      <c r="G607" t="s">
        <v>21</v>
      </c>
      <c r="H607" t="s">
        <v>15</v>
      </c>
      <c r="I607" s="3">
        <v>0</v>
      </c>
      <c r="J607" t="s">
        <v>23</v>
      </c>
      <c r="K607" t="s">
        <v>32</v>
      </c>
      <c r="L607" s="3">
        <v>52</v>
      </c>
      <c r="M607" s="3" t="str" cm="1">
        <f t="array" ref="M607">_xlfn.IFS(
L607&gt;=65,"Retirement Age",
AND(L607&lt;65,L607&gt;=40),"Middle Aged",
AND(L607&lt;40,L607&gt;=30),"In the 30s",
L607&lt;30,"Below 30")</f>
        <v>Middle Aged</v>
      </c>
      <c r="N607" t="s">
        <v>15</v>
      </c>
    </row>
    <row r="608" spans="1:14" x14ac:dyDescent="0.25">
      <c r="A608">
        <v>11644</v>
      </c>
      <c r="B608" t="s">
        <v>37</v>
      </c>
      <c r="C608" t="s">
        <v>38</v>
      </c>
      <c r="D608" s="1">
        <v>40000</v>
      </c>
      <c r="E608" s="3">
        <v>2</v>
      </c>
      <c r="F608" t="s">
        <v>13</v>
      </c>
      <c r="G608" t="s">
        <v>14</v>
      </c>
      <c r="H608" t="s">
        <v>15</v>
      </c>
      <c r="I608" s="3">
        <v>0</v>
      </c>
      <c r="J608" t="s">
        <v>22</v>
      </c>
      <c r="K608" t="s">
        <v>32</v>
      </c>
      <c r="L608" s="3">
        <v>36</v>
      </c>
      <c r="M608" s="3" t="str" cm="1">
        <f t="array" ref="M608">_xlfn.IFS(
L608&gt;=65,"Retirement Age",
AND(L608&lt;65,L608&gt;=40),"Middle Aged",
AND(L608&lt;40,L608&gt;=30),"In the 30s",
L608&lt;30,"Below 30")</f>
        <v>In the 30s</v>
      </c>
      <c r="N608" t="s">
        <v>18</v>
      </c>
    </row>
    <row r="609" spans="1:14" x14ac:dyDescent="0.25">
      <c r="A609">
        <v>16145</v>
      </c>
      <c r="B609" t="s">
        <v>37</v>
      </c>
      <c r="C609" t="s">
        <v>39</v>
      </c>
      <c r="D609" s="1">
        <v>70000</v>
      </c>
      <c r="E609" s="3">
        <v>5</v>
      </c>
      <c r="F609" t="s">
        <v>31</v>
      </c>
      <c r="G609" t="s">
        <v>21</v>
      </c>
      <c r="H609" t="s">
        <v>15</v>
      </c>
      <c r="I609" s="3">
        <v>3</v>
      </c>
      <c r="J609" t="s">
        <v>45</v>
      </c>
      <c r="K609" t="s">
        <v>32</v>
      </c>
      <c r="L609" s="3">
        <v>46</v>
      </c>
      <c r="M609" s="3" t="str" cm="1">
        <f t="array" ref="M609">_xlfn.IFS(
L609&gt;=65,"Retirement Age",
AND(L609&lt;65,L609&gt;=40),"Middle Aged",
AND(L609&lt;40,L609&gt;=30),"In the 30s",
L609&lt;30,"Below 30")</f>
        <v>Middle Aged</v>
      </c>
      <c r="N609" t="s">
        <v>15</v>
      </c>
    </row>
    <row r="610" spans="1:14" x14ac:dyDescent="0.25">
      <c r="A610">
        <v>16890</v>
      </c>
      <c r="B610" t="s">
        <v>36</v>
      </c>
      <c r="C610" t="s">
        <v>38</v>
      </c>
      <c r="D610" s="1">
        <v>60000</v>
      </c>
      <c r="E610" s="3">
        <v>3</v>
      </c>
      <c r="F610" t="s">
        <v>29</v>
      </c>
      <c r="G610" t="s">
        <v>14</v>
      </c>
      <c r="H610" t="s">
        <v>15</v>
      </c>
      <c r="I610" s="3">
        <v>2</v>
      </c>
      <c r="J610" t="s">
        <v>23</v>
      </c>
      <c r="K610" t="s">
        <v>32</v>
      </c>
      <c r="L610" s="3">
        <v>52</v>
      </c>
      <c r="M610" s="3" t="str" cm="1">
        <f t="array" ref="M610">_xlfn.IFS(
L610&gt;=65,"Retirement Age",
AND(L610&lt;65,L610&gt;=40),"Middle Aged",
AND(L610&lt;40,L610&gt;=30),"In the 30s",
L610&lt;30,"Below 30")</f>
        <v>Middle Aged</v>
      </c>
      <c r="N610" t="s">
        <v>15</v>
      </c>
    </row>
    <row r="611" spans="1:14" x14ac:dyDescent="0.25">
      <c r="A611">
        <v>25983</v>
      </c>
      <c r="B611" t="s">
        <v>36</v>
      </c>
      <c r="C611" t="s">
        <v>38</v>
      </c>
      <c r="D611" s="1">
        <v>70000</v>
      </c>
      <c r="E611" s="3">
        <v>0</v>
      </c>
      <c r="F611" t="s">
        <v>13</v>
      </c>
      <c r="G611" t="s">
        <v>21</v>
      </c>
      <c r="H611" t="s">
        <v>18</v>
      </c>
      <c r="I611" s="3">
        <v>1</v>
      </c>
      <c r="J611" t="s">
        <v>16</v>
      </c>
      <c r="K611" t="s">
        <v>32</v>
      </c>
      <c r="L611" s="3">
        <v>43</v>
      </c>
      <c r="M611" s="3" t="str" cm="1">
        <f t="array" ref="M611">_xlfn.IFS(
L611&gt;=65,"Retirement Age",
AND(L611&lt;65,L611&gt;=40),"Middle Aged",
AND(L611&lt;40,L611&gt;=30),"In the 30s",
L611&lt;30,"Below 30")</f>
        <v>Middle Aged</v>
      </c>
      <c r="N611" t="s">
        <v>18</v>
      </c>
    </row>
    <row r="612" spans="1:14" x14ac:dyDescent="0.25">
      <c r="A612">
        <v>14633</v>
      </c>
      <c r="B612" t="s">
        <v>36</v>
      </c>
      <c r="C612" t="s">
        <v>38</v>
      </c>
      <c r="D612" s="1">
        <v>60000</v>
      </c>
      <c r="E612" s="3">
        <v>1</v>
      </c>
      <c r="F612" t="s">
        <v>19</v>
      </c>
      <c r="G612" t="s">
        <v>14</v>
      </c>
      <c r="H612" t="s">
        <v>15</v>
      </c>
      <c r="I612" s="3">
        <v>1</v>
      </c>
      <c r="J612" t="s">
        <v>22</v>
      </c>
      <c r="K612" t="s">
        <v>32</v>
      </c>
      <c r="L612" s="3">
        <v>44</v>
      </c>
      <c r="M612" s="3" t="str" cm="1">
        <f t="array" ref="M612">_xlfn.IFS(
L612&gt;=65,"Retirement Age",
AND(L612&lt;65,L612&gt;=40),"Middle Aged",
AND(L612&lt;40,L612&gt;=30),"In the 30s",
L612&lt;30,"Below 30")</f>
        <v>Middle Aged</v>
      </c>
      <c r="N612" t="s">
        <v>18</v>
      </c>
    </row>
    <row r="613" spans="1:14" x14ac:dyDescent="0.25">
      <c r="A613">
        <v>22994</v>
      </c>
      <c r="B613" t="s">
        <v>36</v>
      </c>
      <c r="C613" t="s">
        <v>39</v>
      </c>
      <c r="D613" s="1">
        <v>80000</v>
      </c>
      <c r="E613" s="3">
        <v>0</v>
      </c>
      <c r="F613" t="s">
        <v>13</v>
      </c>
      <c r="G613" t="s">
        <v>28</v>
      </c>
      <c r="H613" t="s">
        <v>15</v>
      </c>
      <c r="I613" s="3">
        <v>1</v>
      </c>
      <c r="J613" t="s">
        <v>26</v>
      </c>
      <c r="K613" t="s">
        <v>32</v>
      </c>
      <c r="L613" s="3">
        <v>34</v>
      </c>
      <c r="M613" s="3" t="str" cm="1">
        <f t="array" ref="M613">_xlfn.IFS(
L613&gt;=65,"Retirement Age",
AND(L613&lt;65,L613&gt;=40),"Middle Aged",
AND(L613&lt;40,L613&gt;=30),"In the 30s",
L613&lt;30,"Below 30")</f>
        <v>In the 30s</v>
      </c>
      <c r="N613" t="s">
        <v>15</v>
      </c>
    </row>
    <row r="614" spans="1:14" x14ac:dyDescent="0.25">
      <c r="A614">
        <v>22983</v>
      </c>
      <c r="B614" t="s">
        <v>37</v>
      </c>
      <c r="C614" t="s">
        <v>39</v>
      </c>
      <c r="D614" s="1">
        <v>30000</v>
      </c>
      <c r="E614" s="3">
        <v>0</v>
      </c>
      <c r="F614" t="s">
        <v>29</v>
      </c>
      <c r="G614" t="s">
        <v>20</v>
      </c>
      <c r="H614" t="s">
        <v>15</v>
      </c>
      <c r="I614" s="3">
        <v>2</v>
      </c>
      <c r="J614" t="s">
        <v>23</v>
      </c>
      <c r="K614" t="s">
        <v>32</v>
      </c>
      <c r="L614" s="3">
        <v>27</v>
      </c>
      <c r="M614" s="3" t="str" cm="1">
        <f t="array" ref="M614">_xlfn.IFS(
L614&gt;=65,"Retirement Age",
AND(L614&lt;65,L614&gt;=40),"Middle Aged",
AND(L614&lt;40,L614&gt;=30),"In the 30s",
L614&lt;30,"Below 30")</f>
        <v>Below 30</v>
      </c>
      <c r="N614" t="s">
        <v>18</v>
      </c>
    </row>
    <row r="615" spans="1:14" x14ac:dyDescent="0.25">
      <c r="A615">
        <v>25184</v>
      </c>
      <c r="B615" t="s">
        <v>37</v>
      </c>
      <c r="C615" t="s">
        <v>38</v>
      </c>
      <c r="D615" s="1">
        <v>110000</v>
      </c>
      <c r="E615" s="3">
        <v>1</v>
      </c>
      <c r="F615" t="s">
        <v>19</v>
      </c>
      <c r="G615" t="s">
        <v>21</v>
      </c>
      <c r="H615" t="s">
        <v>15</v>
      </c>
      <c r="I615" s="3">
        <v>4</v>
      </c>
      <c r="J615" t="s">
        <v>23</v>
      </c>
      <c r="K615" t="s">
        <v>32</v>
      </c>
      <c r="L615" s="3">
        <v>45</v>
      </c>
      <c r="M615" s="3" t="str" cm="1">
        <f t="array" ref="M615">_xlfn.IFS(
L615&gt;=65,"Retirement Age",
AND(L615&lt;65,L615&gt;=40),"Middle Aged",
AND(L615&lt;40,L615&gt;=30),"In the 30s",
L615&lt;30,"Below 30")</f>
        <v>Middle Aged</v>
      </c>
      <c r="N615" t="s">
        <v>15</v>
      </c>
    </row>
    <row r="616" spans="1:14" x14ac:dyDescent="0.25">
      <c r="A616">
        <v>14469</v>
      </c>
      <c r="B616" t="s">
        <v>36</v>
      </c>
      <c r="C616" t="s">
        <v>39</v>
      </c>
      <c r="D616" s="1">
        <v>100000</v>
      </c>
      <c r="E616" s="3">
        <v>3</v>
      </c>
      <c r="F616" t="s">
        <v>19</v>
      </c>
      <c r="G616" t="s">
        <v>21</v>
      </c>
      <c r="H616" t="s">
        <v>15</v>
      </c>
      <c r="I616" s="3">
        <v>4</v>
      </c>
      <c r="J616" t="s">
        <v>26</v>
      </c>
      <c r="K616" t="s">
        <v>32</v>
      </c>
      <c r="L616" s="3">
        <v>45</v>
      </c>
      <c r="M616" s="3" t="str" cm="1">
        <f t="array" ref="M616">_xlfn.IFS(
L616&gt;=65,"Retirement Age",
AND(L616&lt;65,L616&gt;=40),"Middle Aged",
AND(L616&lt;40,L616&gt;=30),"In the 30s",
L616&lt;30,"Below 30")</f>
        <v>Middle Aged</v>
      </c>
      <c r="N616" t="s">
        <v>18</v>
      </c>
    </row>
    <row r="617" spans="1:14" x14ac:dyDescent="0.25">
      <c r="A617">
        <v>11538</v>
      </c>
      <c r="B617" t="s">
        <v>37</v>
      </c>
      <c r="C617" t="s">
        <v>39</v>
      </c>
      <c r="D617" s="1">
        <v>60000</v>
      </c>
      <c r="E617" s="3">
        <v>4</v>
      </c>
      <c r="F617" t="s">
        <v>31</v>
      </c>
      <c r="G617" t="s">
        <v>14</v>
      </c>
      <c r="H617" t="s">
        <v>18</v>
      </c>
      <c r="I617" s="3">
        <v>0</v>
      </c>
      <c r="J617" t="s">
        <v>16</v>
      </c>
      <c r="K617" t="s">
        <v>32</v>
      </c>
      <c r="L617" s="3">
        <v>47</v>
      </c>
      <c r="M617" s="3" t="str" cm="1">
        <f t="array" ref="M617">_xlfn.IFS(
L617&gt;=65,"Retirement Age",
AND(L617&lt;65,L617&gt;=40),"Middle Aged",
AND(L617&lt;40,L617&gt;=30),"In the 30s",
L617&lt;30,"Below 30")</f>
        <v>Middle Aged</v>
      </c>
      <c r="N617" t="s">
        <v>15</v>
      </c>
    </row>
    <row r="618" spans="1:14" x14ac:dyDescent="0.25">
      <c r="A618">
        <v>16245</v>
      </c>
      <c r="B618" t="s">
        <v>37</v>
      </c>
      <c r="C618" t="s">
        <v>39</v>
      </c>
      <c r="D618" s="1">
        <v>80000</v>
      </c>
      <c r="E618" s="3">
        <v>4</v>
      </c>
      <c r="F618" t="s">
        <v>31</v>
      </c>
      <c r="G618" t="s">
        <v>14</v>
      </c>
      <c r="H618" t="s">
        <v>15</v>
      </c>
      <c r="I618" s="3">
        <v>0</v>
      </c>
      <c r="J618" t="s">
        <v>26</v>
      </c>
      <c r="K618" t="s">
        <v>32</v>
      </c>
      <c r="L618" s="3">
        <v>47</v>
      </c>
      <c r="M618" s="3" t="str" cm="1">
        <f t="array" ref="M618">_xlfn.IFS(
L618&gt;=65,"Retirement Age",
AND(L618&lt;65,L618&gt;=40),"Middle Aged",
AND(L618&lt;40,L618&gt;=30),"In the 30s",
L618&lt;30,"Below 30")</f>
        <v>Middle Aged</v>
      </c>
      <c r="N618" t="s">
        <v>18</v>
      </c>
    </row>
    <row r="619" spans="1:14" x14ac:dyDescent="0.25">
      <c r="A619">
        <v>17858</v>
      </c>
      <c r="B619" t="s">
        <v>36</v>
      </c>
      <c r="C619" t="s">
        <v>38</v>
      </c>
      <c r="D619" s="1">
        <v>40000</v>
      </c>
      <c r="E619" s="3">
        <v>4</v>
      </c>
      <c r="F619" t="s">
        <v>27</v>
      </c>
      <c r="G619" t="s">
        <v>14</v>
      </c>
      <c r="H619" t="s">
        <v>15</v>
      </c>
      <c r="I619" s="3">
        <v>2</v>
      </c>
      <c r="J619" t="s">
        <v>22</v>
      </c>
      <c r="K619" t="s">
        <v>32</v>
      </c>
      <c r="L619" s="3">
        <v>44</v>
      </c>
      <c r="M619" s="3" t="str" cm="1">
        <f t="array" ref="M619">_xlfn.IFS(
L619&gt;=65,"Retirement Age",
AND(L619&lt;65,L619&gt;=40),"Middle Aged",
AND(L619&lt;40,L619&gt;=30),"In the 30s",
L619&lt;30,"Below 30")</f>
        <v>Middle Aged</v>
      </c>
      <c r="N619" t="s">
        <v>15</v>
      </c>
    </row>
    <row r="620" spans="1:14" x14ac:dyDescent="0.25">
      <c r="A620">
        <v>25347</v>
      </c>
      <c r="B620" t="s">
        <v>37</v>
      </c>
      <c r="C620" t="s">
        <v>39</v>
      </c>
      <c r="D620" s="1">
        <v>20000</v>
      </c>
      <c r="E620" s="3">
        <v>3</v>
      </c>
      <c r="F620" t="s">
        <v>29</v>
      </c>
      <c r="G620" t="s">
        <v>20</v>
      </c>
      <c r="H620" t="s">
        <v>18</v>
      </c>
      <c r="I620" s="3">
        <v>2</v>
      </c>
      <c r="J620" t="s">
        <v>16</v>
      </c>
      <c r="K620" t="s">
        <v>32</v>
      </c>
      <c r="L620" s="3">
        <v>49</v>
      </c>
      <c r="M620" s="3" t="str" cm="1">
        <f t="array" ref="M620">_xlfn.IFS(
L620&gt;=65,"Retirement Age",
AND(L620&lt;65,L620&gt;=40),"Middle Aged",
AND(L620&lt;40,L620&gt;=30),"In the 30s",
L620&lt;30,"Below 30")</f>
        <v>Middle Aged</v>
      </c>
      <c r="N620" t="s">
        <v>18</v>
      </c>
    </row>
    <row r="621" spans="1:14" x14ac:dyDescent="0.25">
      <c r="A621">
        <v>15814</v>
      </c>
      <c r="B621" t="s">
        <v>37</v>
      </c>
      <c r="C621" t="s">
        <v>39</v>
      </c>
      <c r="D621" s="1">
        <v>40000</v>
      </c>
      <c r="E621" s="3">
        <v>0</v>
      </c>
      <c r="F621" t="s">
        <v>27</v>
      </c>
      <c r="G621" t="s">
        <v>14</v>
      </c>
      <c r="H621" t="s">
        <v>15</v>
      </c>
      <c r="I621" s="3">
        <v>1</v>
      </c>
      <c r="J621" t="s">
        <v>23</v>
      </c>
      <c r="K621" t="s">
        <v>32</v>
      </c>
      <c r="L621" s="3">
        <v>30</v>
      </c>
      <c r="M621" s="3" t="str" cm="1">
        <f t="array" ref="M621">_xlfn.IFS(
L621&gt;=65,"Retirement Age",
AND(L621&lt;65,L621&gt;=40),"Middle Aged",
AND(L621&lt;40,L621&gt;=30),"In the 30s",
L621&lt;30,"Below 30")</f>
        <v>In the 30s</v>
      </c>
      <c r="N621" t="s">
        <v>18</v>
      </c>
    </row>
    <row r="622" spans="1:14" x14ac:dyDescent="0.25">
      <c r="A622">
        <v>11259</v>
      </c>
      <c r="B622" t="s">
        <v>36</v>
      </c>
      <c r="C622" t="s">
        <v>39</v>
      </c>
      <c r="D622" s="1">
        <v>100000</v>
      </c>
      <c r="E622" s="3">
        <v>4</v>
      </c>
      <c r="F622" t="s">
        <v>19</v>
      </c>
      <c r="G622" t="s">
        <v>21</v>
      </c>
      <c r="H622" t="s">
        <v>15</v>
      </c>
      <c r="I622" s="3">
        <v>4</v>
      </c>
      <c r="J622" t="s">
        <v>22</v>
      </c>
      <c r="K622" t="s">
        <v>32</v>
      </c>
      <c r="L622" s="3">
        <v>41</v>
      </c>
      <c r="M622" s="3" t="str" cm="1">
        <f t="array" ref="M622">_xlfn.IFS(
L622&gt;=65,"Retirement Age",
AND(L622&lt;65,L622&gt;=40),"Middle Aged",
AND(L622&lt;40,L622&gt;=30),"In the 30s",
L622&lt;30,"Below 30")</f>
        <v>Middle Aged</v>
      </c>
      <c r="N622" t="s">
        <v>15</v>
      </c>
    </row>
    <row r="623" spans="1:14" x14ac:dyDescent="0.25">
      <c r="A623">
        <v>11200</v>
      </c>
      <c r="B623" t="s">
        <v>36</v>
      </c>
      <c r="C623" t="s">
        <v>38</v>
      </c>
      <c r="D623" s="1">
        <v>70000</v>
      </c>
      <c r="E623" s="3">
        <v>4</v>
      </c>
      <c r="F623" t="s">
        <v>13</v>
      </c>
      <c r="G623" t="s">
        <v>28</v>
      </c>
      <c r="H623" t="s">
        <v>15</v>
      </c>
      <c r="I623" s="3">
        <v>1</v>
      </c>
      <c r="J623" t="s">
        <v>26</v>
      </c>
      <c r="K623" t="s">
        <v>32</v>
      </c>
      <c r="L623" s="3">
        <v>58</v>
      </c>
      <c r="M623" s="3" t="str" cm="1">
        <f t="array" ref="M623">_xlfn.IFS(
L623&gt;=65,"Retirement Age",
AND(L623&lt;65,L623&gt;=40),"Middle Aged",
AND(L623&lt;40,L623&gt;=30),"In the 30s",
L623&lt;30,"Below 30")</f>
        <v>Middle Aged</v>
      </c>
      <c r="N623" t="s">
        <v>18</v>
      </c>
    </row>
    <row r="624" spans="1:14" x14ac:dyDescent="0.25">
      <c r="A624">
        <v>25101</v>
      </c>
      <c r="B624" t="s">
        <v>36</v>
      </c>
      <c r="C624" t="s">
        <v>38</v>
      </c>
      <c r="D624" s="1">
        <v>60000</v>
      </c>
      <c r="E624" s="3">
        <v>5</v>
      </c>
      <c r="F624" t="s">
        <v>13</v>
      </c>
      <c r="G624" t="s">
        <v>21</v>
      </c>
      <c r="H624" t="s">
        <v>15</v>
      </c>
      <c r="I624" s="3">
        <v>1</v>
      </c>
      <c r="J624" t="s">
        <v>22</v>
      </c>
      <c r="K624" t="s">
        <v>32</v>
      </c>
      <c r="L624" s="3">
        <v>47</v>
      </c>
      <c r="M624" s="3" t="str" cm="1">
        <f t="array" ref="M624">_xlfn.IFS(
L624&gt;=65,"Retirement Age",
AND(L624&lt;65,L624&gt;=40),"Middle Aged",
AND(L624&lt;40,L624&gt;=30),"In the 30s",
L624&lt;30,"Below 30")</f>
        <v>Middle Aged</v>
      </c>
      <c r="N624" t="s">
        <v>18</v>
      </c>
    </row>
    <row r="625" spans="1:14" x14ac:dyDescent="0.25">
      <c r="A625">
        <v>21801</v>
      </c>
      <c r="B625" t="s">
        <v>36</v>
      </c>
      <c r="C625" t="s">
        <v>39</v>
      </c>
      <c r="D625" s="1">
        <v>70000</v>
      </c>
      <c r="E625" s="3">
        <v>4</v>
      </c>
      <c r="F625" t="s">
        <v>19</v>
      </c>
      <c r="G625" t="s">
        <v>21</v>
      </c>
      <c r="H625" t="s">
        <v>15</v>
      </c>
      <c r="I625" s="3">
        <v>1</v>
      </c>
      <c r="J625" t="s">
        <v>26</v>
      </c>
      <c r="K625" t="s">
        <v>32</v>
      </c>
      <c r="L625" s="3">
        <v>55</v>
      </c>
      <c r="M625" s="3" t="str" cm="1">
        <f t="array" ref="M625">_xlfn.IFS(
L625&gt;=65,"Retirement Age",
AND(L625&lt;65,L625&gt;=40),"Middle Aged",
AND(L625&lt;40,L625&gt;=30),"In the 30s",
L625&lt;30,"Below 30")</f>
        <v>Middle Aged</v>
      </c>
      <c r="N625" t="s">
        <v>18</v>
      </c>
    </row>
    <row r="626" spans="1:14" x14ac:dyDescent="0.25">
      <c r="A626">
        <v>25943</v>
      </c>
      <c r="B626" t="s">
        <v>37</v>
      </c>
      <c r="C626" t="s">
        <v>39</v>
      </c>
      <c r="D626" s="1">
        <v>70000</v>
      </c>
      <c r="E626" s="3">
        <v>0</v>
      </c>
      <c r="F626" t="s">
        <v>19</v>
      </c>
      <c r="G626" t="s">
        <v>14</v>
      </c>
      <c r="H626" t="s">
        <v>18</v>
      </c>
      <c r="I626" s="3">
        <v>2</v>
      </c>
      <c r="J626" t="s">
        <v>16</v>
      </c>
      <c r="K626" t="s">
        <v>32</v>
      </c>
      <c r="L626" s="3">
        <v>27</v>
      </c>
      <c r="M626" s="3" t="str" cm="1">
        <f t="array" ref="M626">_xlfn.IFS(
L626&gt;=65,"Retirement Age",
AND(L626&lt;65,L626&gt;=40),"Middle Aged",
AND(L626&lt;40,L626&gt;=30),"In the 30s",
L626&lt;30,"Below 30")</f>
        <v>Below 30</v>
      </c>
      <c r="N626" t="s">
        <v>15</v>
      </c>
    </row>
    <row r="627" spans="1:14" x14ac:dyDescent="0.25">
      <c r="A627">
        <v>22127</v>
      </c>
      <c r="B627" t="s">
        <v>36</v>
      </c>
      <c r="C627" t="s">
        <v>38</v>
      </c>
      <c r="D627" s="1">
        <v>60000</v>
      </c>
      <c r="E627" s="3">
        <v>3</v>
      </c>
      <c r="F627" t="s">
        <v>31</v>
      </c>
      <c r="G627" t="s">
        <v>28</v>
      </c>
      <c r="H627" t="s">
        <v>15</v>
      </c>
      <c r="I627" s="3">
        <v>2</v>
      </c>
      <c r="J627" t="s">
        <v>26</v>
      </c>
      <c r="K627" t="s">
        <v>32</v>
      </c>
      <c r="L627" s="3">
        <v>67</v>
      </c>
      <c r="M627" s="3" t="str" cm="1">
        <f t="array" ref="M627">_xlfn.IFS(
L627&gt;=65,"Retirement Age",
AND(L627&lt;65,L627&gt;=40),"Middle Aged",
AND(L627&lt;40,L627&gt;=30),"In the 30s",
L627&lt;30,"Below 30")</f>
        <v>Retirement Age</v>
      </c>
      <c r="N627" t="s">
        <v>18</v>
      </c>
    </row>
    <row r="628" spans="1:14" x14ac:dyDescent="0.25">
      <c r="A628">
        <v>20414</v>
      </c>
      <c r="B628" t="s">
        <v>36</v>
      </c>
      <c r="C628" t="s">
        <v>39</v>
      </c>
      <c r="D628" s="1">
        <v>60000</v>
      </c>
      <c r="E628" s="3">
        <v>0</v>
      </c>
      <c r="F628" t="s">
        <v>19</v>
      </c>
      <c r="G628" t="s">
        <v>14</v>
      </c>
      <c r="H628" t="s">
        <v>15</v>
      </c>
      <c r="I628" s="3">
        <v>2</v>
      </c>
      <c r="J628" t="s">
        <v>23</v>
      </c>
      <c r="K628" t="s">
        <v>32</v>
      </c>
      <c r="L628" s="3">
        <v>29</v>
      </c>
      <c r="M628" s="3" t="str" cm="1">
        <f t="array" ref="M628">_xlfn.IFS(
L628&gt;=65,"Retirement Age",
AND(L628&lt;65,L628&gt;=40),"Middle Aged",
AND(L628&lt;40,L628&gt;=30),"In the 30s",
L628&lt;30,"Below 30")</f>
        <v>Below 30</v>
      </c>
      <c r="N628" t="s">
        <v>18</v>
      </c>
    </row>
    <row r="629" spans="1:14" x14ac:dyDescent="0.25">
      <c r="A629">
        <v>23672</v>
      </c>
      <c r="B629" t="s">
        <v>36</v>
      </c>
      <c r="C629" t="s">
        <v>39</v>
      </c>
      <c r="D629" s="1">
        <v>60000</v>
      </c>
      <c r="E629" s="3">
        <v>3</v>
      </c>
      <c r="F629" t="s">
        <v>31</v>
      </c>
      <c r="G629" t="s">
        <v>28</v>
      </c>
      <c r="H629" t="s">
        <v>15</v>
      </c>
      <c r="I629" s="3">
        <v>2</v>
      </c>
      <c r="J629" t="s">
        <v>26</v>
      </c>
      <c r="K629" t="s">
        <v>32</v>
      </c>
      <c r="L629" s="3">
        <v>67</v>
      </c>
      <c r="M629" s="3" t="str" cm="1">
        <f t="array" ref="M629">_xlfn.IFS(
L629&gt;=65,"Retirement Age",
AND(L629&lt;65,L629&gt;=40),"Middle Aged",
AND(L629&lt;40,L629&gt;=30),"In the 30s",
L629&lt;30,"Below 30")</f>
        <v>Retirement Age</v>
      </c>
      <c r="N629" t="s">
        <v>18</v>
      </c>
    </row>
    <row r="630" spans="1:14" x14ac:dyDescent="0.25">
      <c r="A630">
        <v>29255</v>
      </c>
      <c r="B630" t="s">
        <v>37</v>
      </c>
      <c r="C630" t="s">
        <v>38</v>
      </c>
      <c r="D630" s="1">
        <v>80000</v>
      </c>
      <c r="E630" s="3">
        <v>3</v>
      </c>
      <c r="F630" t="s">
        <v>19</v>
      </c>
      <c r="G630" t="s">
        <v>21</v>
      </c>
      <c r="H630" t="s">
        <v>18</v>
      </c>
      <c r="I630" s="3">
        <v>1</v>
      </c>
      <c r="J630" t="s">
        <v>26</v>
      </c>
      <c r="K630" t="s">
        <v>32</v>
      </c>
      <c r="L630" s="3">
        <v>51</v>
      </c>
      <c r="M630" s="3" t="str" cm="1">
        <f t="array" ref="M630">_xlfn.IFS(
L630&gt;=65,"Retirement Age",
AND(L630&lt;65,L630&gt;=40),"Middle Aged",
AND(L630&lt;40,L630&gt;=30),"In the 30s",
L630&lt;30,"Below 30")</f>
        <v>Middle Aged</v>
      </c>
      <c r="N630" t="s">
        <v>15</v>
      </c>
    </row>
    <row r="631" spans="1:14" x14ac:dyDescent="0.25">
      <c r="A631">
        <v>28815</v>
      </c>
      <c r="B631" t="s">
        <v>36</v>
      </c>
      <c r="C631" t="s">
        <v>39</v>
      </c>
      <c r="D631" s="1">
        <v>50000</v>
      </c>
      <c r="E631" s="3">
        <v>1</v>
      </c>
      <c r="F631" t="s">
        <v>31</v>
      </c>
      <c r="G631" t="s">
        <v>14</v>
      </c>
      <c r="H631" t="s">
        <v>15</v>
      </c>
      <c r="I631" s="3">
        <v>0</v>
      </c>
      <c r="J631" t="s">
        <v>16</v>
      </c>
      <c r="K631" t="s">
        <v>32</v>
      </c>
      <c r="L631" s="3">
        <v>35</v>
      </c>
      <c r="M631" s="3" t="str" cm="1">
        <f t="array" ref="M631">_xlfn.IFS(
L631&gt;=65,"Retirement Age",
AND(L631&lt;65,L631&gt;=40),"Middle Aged",
AND(L631&lt;40,L631&gt;=30),"In the 30s",
L631&lt;30,"Below 30")</f>
        <v>In the 30s</v>
      </c>
      <c r="N631" t="s">
        <v>18</v>
      </c>
    </row>
    <row r="632" spans="1:14" x14ac:dyDescent="0.25">
      <c r="A632">
        <v>27753</v>
      </c>
      <c r="B632" t="s">
        <v>36</v>
      </c>
      <c r="C632" t="s">
        <v>38</v>
      </c>
      <c r="D632" s="1">
        <v>40000</v>
      </c>
      <c r="E632" s="3">
        <v>0</v>
      </c>
      <c r="F632" t="s">
        <v>27</v>
      </c>
      <c r="G632" t="s">
        <v>14</v>
      </c>
      <c r="H632" t="s">
        <v>18</v>
      </c>
      <c r="I632" s="3">
        <v>2</v>
      </c>
      <c r="J632" t="s">
        <v>26</v>
      </c>
      <c r="K632" t="s">
        <v>32</v>
      </c>
      <c r="L632" s="3">
        <v>30</v>
      </c>
      <c r="M632" s="3" t="str" cm="1">
        <f t="array" ref="M632">_xlfn.IFS(
L632&gt;=65,"Retirement Age",
AND(L632&lt;65,L632&gt;=40),"Middle Aged",
AND(L632&lt;40,L632&gt;=30),"In the 30s",
L632&lt;30,"Below 30")</f>
        <v>In the 30s</v>
      </c>
      <c r="N632" t="s">
        <v>18</v>
      </c>
    </row>
    <row r="633" spans="1:14" x14ac:dyDescent="0.25">
      <c r="A633">
        <v>27643</v>
      </c>
      <c r="B633" t="s">
        <v>37</v>
      </c>
      <c r="C633" t="s">
        <v>38</v>
      </c>
      <c r="D633" s="1">
        <v>70000</v>
      </c>
      <c r="E633" s="3">
        <v>5</v>
      </c>
      <c r="F633" t="s">
        <v>19</v>
      </c>
      <c r="G633" t="s">
        <v>21</v>
      </c>
      <c r="H633" t="s">
        <v>15</v>
      </c>
      <c r="I633" s="3">
        <v>3</v>
      </c>
      <c r="J633" t="s">
        <v>22</v>
      </c>
      <c r="K633" t="s">
        <v>32</v>
      </c>
      <c r="L633" s="3">
        <v>44</v>
      </c>
      <c r="M633" s="3" t="str" cm="1">
        <f t="array" ref="M633">_xlfn.IFS(
L633&gt;=65,"Retirement Age",
AND(L633&lt;65,L633&gt;=40),"Middle Aged",
AND(L633&lt;40,L633&gt;=30),"In the 30s",
L633&lt;30,"Below 30")</f>
        <v>Middle Aged</v>
      </c>
      <c r="N633" t="s">
        <v>18</v>
      </c>
    </row>
    <row r="634" spans="1:14" x14ac:dyDescent="0.25">
      <c r="A634">
        <v>13754</v>
      </c>
      <c r="B634" t="s">
        <v>37</v>
      </c>
      <c r="C634" t="s">
        <v>39</v>
      </c>
      <c r="D634" s="1">
        <v>80000</v>
      </c>
      <c r="E634" s="3">
        <v>4</v>
      </c>
      <c r="F634" t="s">
        <v>31</v>
      </c>
      <c r="G634" t="s">
        <v>14</v>
      </c>
      <c r="H634" t="s">
        <v>15</v>
      </c>
      <c r="I634" s="3">
        <v>0</v>
      </c>
      <c r="J634" t="s">
        <v>26</v>
      </c>
      <c r="K634" t="s">
        <v>32</v>
      </c>
      <c r="L634" s="3">
        <v>48</v>
      </c>
      <c r="M634" s="3" t="str" cm="1">
        <f t="array" ref="M634">_xlfn.IFS(
L634&gt;=65,"Retirement Age",
AND(L634&lt;65,L634&gt;=40),"Middle Aged",
AND(L634&lt;40,L634&gt;=30),"In the 30s",
L634&lt;30,"Below 30")</f>
        <v>Middle Aged</v>
      </c>
      <c r="N634" t="s">
        <v>18</v>
      </c>
    </row>
    <row r="635" spans="1:14" x14ac:dyDescent="0.25">
      <c r="A635">
        <v>22088</v>
      </c>
      <c r="B635" t="s">
        <v>36</v>
      </c>
      <c r="C635" t="s">
        <v>39</v>
      </c>
      <c r="D635" s="1">
        <v>130000</v>
      </c>
      <c r="E635" s="3">
        <v>1</v>
      </c>
      <c r="F635" t="s">
        <v>13</v>
      </c>
      <c r="G635" t="s">
        <v>28</v>
      </c>
      <c r="H635" t="s">
        <v>15</v>
      </c>
      <c r="I635" s="3">
        <v>2</v>
      </c>
      <c r="J635" t="s">
        <v>16</v>
      </c>
      <c r="K635" t="s">
        <v>32</v>
      </c>
      <c r="L635" s="3">
        <v>45</v>
      </c>
      <c r="M635" s="3" t="str" cm="1">
        <f t="array" ref="M635">_xlfn.IFS(
L635&gt;=65,"Retirement Age",
AND(L635&lt;65,L635&gt;=40),"Middle Aged",
AND(L635&lt;40,L635&gt;=30),"In the 30s",
L635&lt;30,"Below 30")</f>
        <v>Middle Aged</v>
      </c>
      <c r="N635" t="s">
        <v>15</v>
      </c>
    </row>
    <row r="636" spans="1:14" x14ac:dyDescent="0.25">
      <c r="A636">
        <v>27388</v>
      </c>
      <c r="B636" t="s">
        <v>36</v>
      </c>
      <c r="C636" t="s">
        <v>38</v>
      </c>
      <c r="D636" s="1">
        <v>60000</v>
      </c>
      <c r="E636" s="3">
        <v>3</v>
      </c>
      <c r="F636" t="s">
        <v>13</v>
      </c>
      <c r="G636" t="s">
        <v>28</v>
      </c>
      <c r="H636" t="s">
        <v>18</v>
      </c>
      <c r="I636" s="3">
        <v>2</v>
      </c>
      <c r="J636" t="s">
        <v>26</v>
      </c>
      <c r="K636" t="s">
        <v>32</v>
      </c>
      <c r="L636" s="3">
        <v>66</v>
      </c>
      <c r="M636" s="3" t="str" cm="1">
        <f t="array" ref="M636">_xlfn.IFS(
L636&gt;=65,"Retirement Age",
AND(L636&lt;65,L636&gt;=40),"Middle Aged",
AND(L636&lt;40,L636&gt;=30),"In the 30s",
L636&lt;30,"Below 30")</f>
        <v>Retirement Age</v>
      </c>
      <c r="N636" t="s">
        <v>18</v>
      </c>
    </row>
    <row r="637" spans="1:14" x14ac:dyDescent="0.25">
      <c r="A637">
        <v>24745</v>
      </c>
      <c r="B637" t="s">
        <v>37</v>
      </c>
      <c r="C637" t="s">
        <v>39</v>
      </c>
      <c r="D637" s="1">
        <v>30000</v>
      </c>
      <c r="E637" s="3">
        <v>2</v>
      </c>
      <c r="F637" t="s">
        <v>27</v>
      </c>
      <c r="G637" t="s">
        <v>14</v>
      </c>
      <c r="H637" t="s">
        <v>18</v>
      </c>
      <c r="I637" s="3">
        <v>2</v>
      </c>
      <c r="J637" t="s">
        <v>16</v>
      </c>
      <c r="K637" t="s">
        <v>32</v>
      </c>
      <c r="L637" s="3">
        <v>49</v>
      </c>
      <c r="M637" s="3" t="str" cm="1">
        <f t="array" ref="M637">_xlfn.IFS(
L637&gt;=65,"Retirement Age",
AND(L637&lt;65,L637&gt;=40),"Middle Aged",
AND(L637&lt;40,L637&gt;=30),"In the 30s",
L637&lt;30,"Below 30")</f>
        <v>Middle Aged</v>
      </c>
      <c r="N637" t="s">
        <v>18</v>
      </c>
    </row>
    <row r="638" spans="1:14" x14ac:dyDescent="0.25">
      <c r="A638">
        <v>29237</v>
      </c>
      <c r="B638" t="s">
        <v>37</v>
      </c>
      <c r="C638" t="s">
        <v>39</v>
      </c>
      <c r="D638" s="1">
        <v>120000</v>
      </c>
      <c r="E638" s="3">
        <v>4</v>
      </c>
      <c r="F638" t="s">
        <v>19</v>
      </c>
      <c r="G638" t="s">
        <v>21</v>
      </c>
      <c r="H638" t="s">
        <v>15</v>
      </c>
      <c r="I638" s="3">
        <v>3</v>
      </c>
      <c r="J638" t="s">
        <v>23</v>
      </c>
      <c r="K638" t="s">
        <v>32</v>
      </c>
      <c r="L638" s="3">
        <v>43</v>
      </c>
      <c r="M638" s="3" t="str" cm="1">
        <f t="array" ref="M638">_xlfn.IFS(
L638&gt;=65,"Retirement Age",
AND(L638&lt;65,L638&gt;=40),"Middle Aged",
AND(L638&lt;40,L638&gt;=30),"In the 30s",
L638&lt;30,"Below 30")</f>
        <v>Middle Aged</v>
      </c>
      <c r="N638" t="s">
        <v>15</v>
      </c>
    </row>
    <row r="639" spans="1:14" x14ac:dyDescent="0.25">
      <c r="A639">
        <v>15272</v>
      </c>
      <c r="B639" t="s">
        <v>37</v>
      </c>
      <c r="C639" t="s">
        <v>38</v>
      </c>
      <c r="D639" s="1">
        <v>40000</v>
      </c>
      <c r="E639" s="3">
        <v>0</v>
      </c>
      <c r="F639" t="s">
        <v>27</v>
      </c>
      <c r="G639" t="s">
        <v>14</v>
      </c>
      <c r="H639" t="s">
        <v>18</v>
      </c>
      <c r="I639" s="3">
        <v>2</v>
      </c>
      <c r="J639" t="s">
        <v>26</v>
      </c>
      <c r="K639" t="s">
        <v>32</v>
      </c>
      <c r="L639" s="3">
        <v>30</v>
      </c>
      <c r="M639" s="3" t="str" cm="1">
        <f t="array" ref="M639">_xlfn.IFS(
L639&gt;=65,"Retirement Age",
AND(L639&lt;65,L639&gt;=40),"Middle Aged",
AND(L639&lt;40,L639&gt;=30),"In the 30s",
L639&lt;30,"Below 30")</f>
        <v>In the 30s</v>
      </c>
      <c r="N639" t="s">
        <v>18</v>
      </c>
    </row>
    <row r="640" spans="1:14" x14ac:dyDescent="0.25">
      <c r="A640">
        <v>18949</v>
      </c>
      <c r="B640" t="s">
        <v>37</v>
      </c>
      <c r="C640" t="s">
        <v>38</v>
      </c>
      <c r="D640" s="1">
        <v>70000</v>
      </c>
      <c r="E640" s="3">
        <v>0</v>
      </c>
      <c r="F640" t="s">
        <v>31</v>
      </c>
      <c r="G640" t="s">
        <v>28</v>
      </c>
      <c r="H640" t="s">
        <v>15</v>
      </c>
      <c r="I640" s="3">
        <v>2</v>
      </c>
      <c r="J640" t="s">
        <v>23</v>
      </c>
      <c r="K640" t="s">
        <v>32</v>
      </c>
      <c r="L640" s="3">
        <v>74</v>
      </c>
      <c r="M640" s="3" t="str" cm="1">
        <f t="array" ref="M640">_xlfn.IFS(
L640&gt;=65,"Retirement Age",
AND(L640&lt;65,L640&gt;=40),"Middle Aged",
AND(L640&lt;40,L640&gt;=30),"In the 30s",
L640&lt;30,"Below 30")</f>
        <v>Retirement Age</v>
      </c>
      <c r="N640" t="s">
        <v>15</v>
      </c>
    </row>
    <row r="641" spans="1:14" x14ac:dyDescent="0.25">
      <c r="A641">
        <v>14507</v>
      </c>
      <c r="B641" t="s">
        <v>36</v>
      </c>
      <c r="C641" t="s">
        <v>38</v>
      </c>
      <c r="D641" s="1">
        <v>100000</v>
      </c>
      <c r="E641" s="3">
        <v>2</v>
      </c>
      <c r="F641" t="s">
        <v>31</v>
      </c>
      <c r="G641" t="s">
        <v>28</v>
      </c>
      <c r="H641" t="s">
        <v>15</v>
      </c>
      <c r="I641" s="3">
        <v>3</v>
      </c>
      <c r="J641" t="s">
        <v>26</v>
      </c>
      <c r="K641" t="s">
        <v>32</v>
      </c>
      <c r="L641" s="3">
        <v>65</v>
      </c>
      <c r="M641" s="3" t="str" cm="1">
        <f t="array" ref="M641">_xlfn.IFS(
L641&gt;=65,"Retirement Age",
AND(L641&lt;65,L641&gt;=40),"Middle Aged",
AND(L641&lt;40,L641&gt;=30),"In the 30s",
L641&lt;30,"Below 30")</f>
        <v>Retirement Age</v>
      </c>
      <c r="N641" t="s">
        <v>18</v>
      </c>
    </row>
    <row r="642" spans="1:14" x14ac:dyDescent="0.25">
      <c r="A642">
        <v>25886</v>
      </c>
      <c r="B642" t="s">
        <v>36</v>
      </c>
      <c r="C642" t="s">
        <v>39</v>
      </c>
      <c r="D642" s="1">
        <v>60000</v>
      </c>
      <c r="E642" s="3">
        <v>2</v>
      </c>
      <c r="F642" t="s">
        <v>19</v>
      </c>
      <c r="G642" t="s">
        <v>21</v>
      </c>
      <c r="H642" t="s">
        <v>15</v>
      </c>
      <c r="I642" s="3">
        <v>2</v>
      </c>
      <c r="J642" t="s">
        <v>22</v>
      </c>
      <c r="K642" t="s">
        <v>32</v>
      </c>
      <c r="L642" s="3">
        <v>56</v>
      </c>
      <c r="M642" s="3" t="str" cm="1">
        <f t="array" ref="M642">_xlfn.IFS(
L642&gt;=65,"Retirement Age",
AND(L642&lt;65,L642&gt;=40),"Middle Aged",
AND(L642&lt;40,L642&gt;=30),"In the 30s",
L642&lt;30,"Below 30")</f>
        <v>Middle Aged</v>
      </c>
      <c r="N642" t="s">
        <v>15</v>
      </c>
    </row>
    <row r="643" spans="1:14" x14ac:dyDescent="0.25">
      <c r="A643">
        <v>21441</v>
      </c>
      <c r="B643" t="s">
        <v>36</v>
      </c>
      <c r="C643" t="s">
        <v>38</v>
      </c>
      <c r="D643" s="1">
        <v>50000</v>
      </c>
      <c r="E643" s="3">
        <v>4</v>
      </c>
      <c r="F643" t="s">
        <v>13</v>
      </c>
      <c r="G643" t="s">
        <v>28</v>
      </c>
      <c r="H643" t="s">
        <v>15</v>
      </c>
      <c r="I643" s="3">
        <v>2</v>
      </c>
      <c r="J643" t="s">
        <v>45</v>
      </c>
      <c r="K643" t="s">
        <v>32</v>
      </c>
      <c r="L643" s="3">
        <v>64</v>
      </c>
      <c r="M643" s="3" t="str" cm="1">
        <f t="array" ref="M643">_xlfn.IFS(
L643&gt;=65,"Retirement Age",
AND(L643&lt;65,L643&gt;=40),"Middle Aged",
AND(L643&lt;40,L643&gt;=30),"In the 30s",
L643&lt;30,"Below 30")</f>
        <v>Middle Aged</v>
      </c>
      <c r="N643" t="s">
        <v>18</v>
      </c>
    </row>
    <row r="644" spans="1:14" x14ac:dyDescent="0.25">
      <c r="A644">
        <v>21741</v>
      </c>
      <c r="B644" t="s">
        <v>36</v>
      </c>
      <c r="C644" t="s">
        <v>39</v>
      </c>
      <c r="D644" s="1">
        <v>70000</v>
      </c>
      <c r="E644" s="3">
        <v>3</v>
      </c>
      <c r="F644" t="s">
        <v>19</v>
      </c>
      <c r="G644" t="s">
        <v>21</v>
      </c>
      <c r="H644" t="s">
        <v>15</v>
      </c>
      <c r="I644" s="3">
        <v>2</v>
      </c>
      <c r="J644" t="s">
        <v>23</v>
      </c>
      <c r="K644" t="s">
        <v>32</v>
      </c>
      <c r="L644" s="3">
        <v>50</v>
      </c>
      <c r="M644" s="3" t="str" cm="1">
        <f t="array" ref="M644">_xlfn.IFS(
L644&gt;=65,"Retirement Age",
AND(L644&lt;65,L644&gt;=40),"Middle Aged",
AND(L644&lt;40,L644&gt;=30),"In the 30s",
L644&lt;30,"Below 30")</f>
        <v>Middle Aged</v>
      </c>
      <c r="N644" t="s">
        <v>15</v>
      </c>
    </row>
    <row r="645" spans="1:14" x14ac:dyDescent="0.25">
      <c r="A645">
        <v>14572</v>
      </c>
      <c r="B645" t="s">
        <v>36</v>
      </c>
      <c r="C645" t="s">
        <v>39</v>
      </c>
      <c r="D645" s="1">
        <v>70000</v>
      </c>
      <c r="E645" s="3">
        <v>3</v>
      </c>
      <c r="F645" t="s">
        <v>31</v>
      </c>
      <c r="G645" t="s">
        <v>21</v>
      </c>
      <c r="H645" t="s">
        <v>15</v>
      </c>
      <c r="I645" s="3">
        <v>0</v>
      </c>
      <c r="J645" t="s">
        <v>22</v>
      </c>
      <c r="K645" t="s">
        <v>32</v>
      </c>
      <c r="L645" s="3">
        <v>35</v>
      </c>
      <c r="M645" s="3" t="str" cm="1">
        <f t="array" ref="M645">_xlfn.IFS(
L645&gt;=65,"Retirement Age",
AND(L645&lt;65,L645&gt;=40),"Middle Aged",
AND(L645&lt;40,L645&gt;=30),"In the 30s",
L645&lt;30,"Below 30")</f>
        <v>In the 30s</v>
      </c>
      <c r="N645" t="s">
        <v>15</v>
      </c>
    </row>
    <row r="646" spans="1:14" x14ac:dyDescent="0.25">
      <c r="A646">
        <v>23368</v>
      </c>
      <c r="B646" t="s">
        <v>36</v>
      </c>
      <c r="C646" t="s">
        <v>39</v>
      </c>
      <c r="D646" s="1">
        <v>60000</v>
      </c>
      <c r="E646" s="3">
        <v>5</v>
      </c>
      <c r="F646" t="s">
        <v>13</v>
      </c>
      <c r="G646" t="s">
        <v>14</v>
      </c>
      <c r="H646" t="s">
        <v>15</v>
      </c>
      <c r="I646" s="3">
        <v>3</v>
      </c>
      <c r="J646" t="s">
        <v>45</v>
      </c>
      <c r="K646" t="s">
        <v>32</v>
      </c>
      <c r="L646" s="3">
        <v>41</v>
      </c>
      <c r="M646" s="3" t="str" cm="1">
        <f t="array" ref="M646">_xlfn.IFS(
L646&gt;=65,"Retirement Age",
AND(L646&lt;65,L646&gt;=40),"Middle Aged",
AND(L646&lt;40,L646&gt;=30),"In the 30s",
L646&lt;30,"Below 30")</f>
        <v>Middle Aged</v>
      </c>
      <c r="N646" t="s">
        <v>18</v>
      </c>
    </row>
    <row r="647" spans="1:14" x14ac:dyDescent="0.25">
      <c r="A647">
        <v>16217</v>
      </c>
      <c r="B647" t="s">
        <v>37</v>
      </c>
      <c r="C647" t="s">
        <v>39</v>
      </c>
      <c r="D647" s="1">
        <v>60000</v>
      </c>
      <c r="E647" s="3">
        <v>0</v>
      </c>
      <c r="F647" t="s">
        <v>31</v>
      </c>
      <c r="G647" t="s">
        <v>14</v>
      </c>
      <c r="H647" t="s">
        <v>15</v>
      </c>
      <c r="I647" s="3">
        <v>0</v>
      </c>
      <c r="J647" t="s">
        <v>16</v>
      </c>
      <c r="K647" t="s">
        <v>32</v>
      </c>
      <c r="L647" s="3">
        <v>39</v>
      </c>
      <c r="M647" s="3" t="str" cm="1">
        <f t="array" ref="M647">_xlfn.IFS(
L647&gt;=65,"Retirement Age",
AND(L647&lt;65,L647&gt;=40),"Middle Aged",
AND(L647&lt;40,L647&gt;=30),"In the 30s",
L647&lt;30,"Below 30")</f>
        <v>In the 30s</v>
      </c>
      <c r="N647" t="s">
        <v>18</v>
      </c>
    </row>
    <row r="648" spans="1:14" x14ac:dyDescent="0.25">
      <c r="A648">
        <v>16247</v>
      </c>
      <c r="B648" t="s">
        <v>37</v>
      </c>
      <c r="C648" t="s">
        <v>39</v>
      </c>
      <c r="D648" s="1">
        <v>60000</v>
      </c>
      <c r="E648" s="3">
        <v>4</v>
      </c>
      <c r="F648" t="s">
        <v>31</v>
      </c>
      <c r="G648" t="s">
        <v>14</v>
      </c>
      <c r="H648" t="s">
        <v>18</v>
      </c>
      <c r="I648" s="3">
        <v>0</v>
      </c>
      <c r="J648" t="s">
        <v>26</v>
      </c>
      <c r="K648" t="s">
        <v>32</v>
      </c>
      <c r="L648" s="3">
        <v>47</v>
      </c>
      <c r="M648" s="3" t="str" cm="1">
        <f t="array" ref="M648">_xlfn.IFS(
L648&gt;=65,"Retirement Age",
AND(L648&lt;65,L648&gt;=40),"Middle Aged",
AND(L648&lt;40,L648&gt;=30),"In the 30s",
L648&lt;30,"Below 30")</f>
        <v>Middle Aged</v>
      </c>
      <c r="N648" t="s">
        <v>18</v>
      </c>
    </row>
    <row r="649" spans="1:14" x14ac:dyDescent="0.25">
      <c r="A649">
        <v>22010</v>
      </c>
      <c r="B649" t="s">
        <v>37</v>
      </c>
      <c r="C649" t="s">
        <v>38</v>
      </c>
      <c r="D649" s="1">
        <v>40000</v>
      </c>
      <c r="E649" s="3">
        <v>0</v>
      </c>
      <c r="F649" t="s">
        <v>27</v>
      </c>
      <c r="G649" t="s">
        <v>14</v>
      </c>
      <c r="H649" t="s">
        <v>15</v>
      </c>
      <c r="I649" s="3">
        <v>2</v>
      </c>
      <c r="J649" t="s">
        <v>23</v>
      </c>
      <c r="K649" t="s">
        <v>32</v>
      </c>
      <c r="L649" s="3">
        <v>31</v>
      </c>
      <c r="M649" s="3" t="str" cm="1">
        <f t="array" ref="M649">_xlfn.IFS(
L649&gt;=65,"Retirement Age",
AND(L649&lt;65,L649&gt;=40),"Middle Aged",
AND(L649&lt;40,L649&gt;=30),"In the 30s",
L649&lt;30,"Below 30")</f>
        <v>In the 30s</v>
      </c>
      <c r="N649" t="s">
        <v>18</v>
      </c>
    </row>
    <row r="650" spans="1:14" x14ac:dyDescent="0.25">
      <c r="A650">
        <v>25872</v>
      </c>
      <c r="B650" t="s">
        <v>37</v>
      </c>
      <c r="C650" t="s">
        <v>39</v>
      </c>
      <c r="D650" s="1">
        <v>70000</v>
      </c>
      <c r="E650" s="3">
        <v>2</v>
      </c>
      <c r="F650" t="s">
        <v>13</v>
      </c>
      <c r="G650" t="s">
        <v>28</v>
      </c>
      <c r="H650" t="s">
        <v>18</v>
      </c>
      <c r="I650" s="3">
        <v>1</v>
      </c>
      <c r="J650" t="s">
        <v>22</v>
      </c>
      <c r="K650" t="s">
        <v>32</v>
      </c>
      <c r="L650" s="3">
        <v>58</v>
      </c>
      <c r="M650" s="3" t="str" cm="1">
        <f t="array" ref="M650">_xlfn.IFS(
L650&gt;=65,"Retirement Age",
AND(L650&lt;65,L650&gt;=40),"Middle Aged",
AND(L650&lt;40,L650&gt;=30),"In the 30s",
L650&lt;30,"Below 30")</f>
        <v>Middle Aged</v>
      </c>
      <c r="N650" t="s">
        <v>15</v>
      </c>
    </row>
    <row r="651" spans="1:14" x14ac:dyDescent="0.25">
      <c r="A651">
        <v>19164</v>
      </c>
      <c r="B651" t="s">
        <v>37</v>
      </c>
      <c r="C651" t="s">
        <v>39</v>
      </c>
      <c r="D651" s="1">
        <v>70000</v>
      </c>
      <c r="E651" s="3">
        <v>0</v>
      </c>
      <c r="F651" t="s">
        <v>13</v>
      </c>
      <c r="G651" t="s">
        <v>21</v>
      </c>
      <c r="H651" t="s">
        <v>18</v>
      </c>
      <c r="I651" s="3">
        <v>1</v>
      </c>
      <c r="J651" t="s">
        <v>22</v>
      </c>
      <c r="K651" t="s">
        <v>32</v>
      </c>
      <c r="L651" s="3">
        <v>38</v>
      </c>
      <c r="M651" s="3" t="str" cm="1">
        <f t="array" ref="M651">_xlfn.IFS(
L651&gt;=65,"Retirement Age",
AND(L651&lt;65,L651&gt;=40),"Middle Aged",
AND(L651&lt;40,L651&gt;=30),"In the 30s",
L651&lt;30,"Below 30")</f>
        <v>In the 30s</v>
      </c>
      <c r="N651" t="s">
        <v>15</v>
      </c>
    </row>
    <row r="652" spans="1:14" x14ac:dyDescent="0.25">
      <c r="A652">
        <v>18435</v>
      </c>
      <c r="B652" t="s">
        <v>37</v>
      </c>
      <c r="C652" t="s">
        <v>39</v>
      </c>
      <c r="D652" s="1">
        <v>70000</v>
      </c>
      <c r="E652" s="3">
        <v>5</v>
      </c>
      <c r="F652" t="s">
        <v>31</v>
      </c>
      <c r="G652" t="s">
        <v>28</v>
      </c>
      <c r="H652" t="s">
        <v>15</v>
      </c>
      <c r="I652" s="3">
        <v>2</v>
      </c>
      <c r="J652" t="s">
        <v>45</v>
      </c>
      <c r="K652" t="s">
        <v>32</v>
      </c>
      <c r="L652" s="3">
        <v>67</v>
      </c>
      <c r="M652" s="3" t="str" cm="1">
        <f t="array" ref="M652">_xlfn.IFS(
L652&gt;=65,"Retirement Age",
AND(L652&lt;65,L652&gt;=40),"Middle Aged",
AND(L652&lt;40,L652&gt;=30),"In the 30s",
L652&lt;30,"Below 30")</f>
        <v>Retirement Age</v>
      </c>
      <c r="N652" t="s">
        <v>15</v>
      </c>
    </row>
    <row r="653" spans="1:14" x14ac:dyDescent="0.25">
      <c r="A653">
        <v>14284</v>
      </c>
      <c r="B653" t="s">
        <v>37</v>
      </c>
      <c r="C653" t="s">
        <v>38</v>
      </c>
      <c r="D653" s="1">
        <v>60000</v>
      </c>
      <c r="E653" s="3">
        <v>0</v>
      </c>
      <c r="F653" t="s">
        <v>19</v>
      </c>
      <c r="G653" t="s">
        <v>21</v>
      </c>
      <c r="H653" t="s">
        <v>18</v>
      </c>
      <c r="I653" s="3">
        <v>2</v>
      </c>
      <c r="J653" t="s">
        <v>26</v>
      </c>
      <c r="K653" t="s">
        <v>32</v>
      </c>
      <c r="L653" s="3">
        <v>32</v>
      </c>
      <c r="M653" s="3" t="str" cm="1">
        <f t="array" ref="M653">_xlfn.IFS(
L653&gt;=65,"Retirement Age",
AND(L653&lt;65,L653&gt;=40),"Middle Aged",
AND(L653&lt;40,L653&gt;=30),"In the 30s",
L653&lt;30,"Below 30")</f>
        <v>In the 30s</v>
      </c>
      <c r="N653" t="s">
        <v>15</v>
      </c>
    </row>
    <row r="654" spans="1:14" x14ac:dyDescent="0.25">
      <c r="A654">
        <v>11287</v>
      </c>
      <c r="B654" t="s">
        <v>36</v>
      </c>
      <c r="C654" t="s">
        <v>38</v>
      </c>
      <c r="D654" s="1">
        <v>70000</v>
      </c>
      <c r="E654" s="3">
        <v>5</v>
      </c>
      <c r="F654" t="s">
        <v>19</v>
      </c>
      <c r="G654" t="s">
        <v>21</v>
      </c>
      <c r="H654" t="s">
        <v>18</v>
      </c>
      <c r="I654" s="3">
        <v>3</v>
      </c>
      <c r="J654" t="s">
        <v>23</v>
      </c>
      <c r="K654" t="s">
        <v>32</v>
      </c>
      <c r="L654" s="3">
        <v>45</v>
      </c>
      <c r="M654" s="3" t="str" cm="1">
        <f t="array" ref="M654">_xlfn.IFS(
L654&gt;=65,"Retirement Age",
AND(L654&lt;65,L654&gt;=40),"Middle Aged",
AND(L654&lt;40,L654&gt;=30),"In the 30s",
L654&lt;30,"Below 30")</f>
        <v>Middle Aged</v>
      </c>
      <c r="N654" t="s">
        <v>18</v>
      </c>
    </row>
    <row r="655" spans="1:14" x14ac:dyDescent="0.25">
      <c r="A655">
        <v>13066</v>
      </c>
      <c r="B655" t="s">
        <v>37</v>
      </c>
      <c r="C655" t="s">
        <v>38</v>
      </c>
      <c r="D655" s="1">
        <v>30000</v>
      </c>
      <c r="E655" s="3">
        <v>0</v>
      </c>
      <c r="F655" t="s">
        <v>27</v>
      </c>
      <c r="G655" t="s">
        <v>14</v>
      </c>
      <c r="H655" t="s">
        <v>18</v>
      </c>
      <c r="I655" s="3">
        <v>2</v>
      </c>
      <c r="J655" t="s">
        <v>26</v>
      </c>
      <c r="K655" t="s">
        <v>32</v>
      </c>
      <c r="L655" s="3">
        <v>31</v>
      </c>
      <c r="M655" s="3" t="str" cm="1">
        <f t="array" ref="M655">_xlfn.IFS(
L655&gt;=65,"Retirement Age",
AND(L655&lt;65,L655&gt;=40),"Middle Aged",
AND(L655&lt;40,L655&gt;=30),"In the 30s",
L655&lt;30,"Below 30")</f>
        <v>In the 30s</v>
      </c>
      <c r="N655" t="s">
        <v>15</v>
      </c>
    </row>
    <row r="656" spans="1:14" x14ac:dyDescent="0.25">
      <c r="A656">
        <v>29106</v>
      </c>
      <c r="B656" t="s">
        <v>37</v>
      </c>
      <c r="C656" t="s">
        <v>38</v>
      </c>
      <c r="D656" s="1">
        <v>40000</v>
      </c>
      <c r="E656" s="3">
        <v>0</v>
      </c>
      <c r="F656" t="s">
        <v>27</v>
      </c>
      <c r="G656" t="s">
        <v>14</v>
      </c>
      <c r="H656" t="s">
        <v>18</v>
      </c>
      <c r="I656" s="3">
        <v>2</v>
      </c>
      <c r="J656" t="s">
        <v>26</v>
      </c>
      <c r="K656" t="s">
        <v>32</v>
      </c>
      <c r="L656" s="3">
        <v>31</v>
      </c>
      <c r="M656" s="3" t="str" cm="1">
        <f t="array" ref="M656">_xlfn.IFS(
L656&gt;=65,"Retirement Age",
AND(L656&lt;65,L656&gt;=40),"Middle Aged",
AND(L656&lt;40,L656&gt;=30),"In the 30s",
L656&lt;30,"Below 30")</f>
        <v>In the 30s</v>
      </c>
      <c r="N656" t="s">
        <v>15</v>
      </c>
    </row>
    <row r="657" spans="1:14" x14ac:dyDescent="0.25">
      <c r="A657">
        <v>26236</v>
      </c>
      <c r="B657" t="s">
        <v>36</v>
      </c>
      <c r="C657" t="s">
        <v>39</v>
      </c>
      <c r="D657" s="1">
        <v>40000</v>
      </c>
      <c r="E657" s="3">
        <v>3</v>
      </c>
      <c r="F657" t="s">
        <v>19</v>
      </c>
      <c r="G657" t="s">
        <v>20</v>
      </c>
      <c r="H657" t="s">
        <v>15</v>
      </c>
      <c r="I657" s="3">
        <v>1</v>
      </c>
      <c r="J657" t="s">
        <v>16</v>
      </c>
      <c r="K657" t="s">
        <v>32</v>
      </c>
      <c r="L657" s="3">
        <v>31</v>
      </c>
      <c r="M657" s="3" t="str" cm="1">
        <f t="array" ref="M657">_xlfn.IFS(
L657&gt;=65,"Retirement Age",
AND(L657&lt;65,L657&gt;=40),"Middle Aged",
AND(L657&lt;40,L657&gt;=30),"In the 30s",
L657&lt;30,"Below 30")</f>
        <v>In the 30s</v>
      </c>
      <c r="N657" t="s">
        <v>18</v>
      </c>
    </row>
    <row r="658" spans="1:14" x14ac:dyDescent="0.25">
      <c r="A658">
        <v>17531</v>
      </c>
      <c r="B658" t="s">
        <v>36</v>
      </c>
      <c r="C658" t="s">
        <v>38</v>
      </c>
      <c r="D658" s="1">
        <v>60000</v>
      </c>
      <c r="E658" s="3">
        <v>2</v>
      </c>
      <c r="F658" t="s">
        <v>27</v>
      </c>
      <c r="G658" t="s">
        <v>21</v>
      </c>
      <c r="H658" t="s">
        <v>18</v>
      </c>
      <c r="I658" s="3">
        <v>2</v>
      </c>
      <c r="J658" t="s">
        <v>23</v>
      </c>
      <c r="K658" t="s">
        <v>32</v>
      </c>
      <c r="L658" s="3">
        <v>50</v>
      </c>
      <c r="M658" s="3" t="str" cm="1">
        <f t="array" ref="M658">_xlfn.IFS(
L658&gt;=65,"Retirement Age",
AND(L658&lt;65,L658&gt;=40),"Middle Aged",
AND(L658&lt;40,L658&gt;=30),"In the 30s",
L658&lt;30,"Below 30")</f>
        <v>Middle Aged</v>
      </c>
      <c r="N658" t="s">
        <v>18</v>
      </c>
    </row>
    <row r="659" spans="1:14" x14ac:dyDescent="0.25">
      <c r="A659">
        <v>12964</v>
      </c>
      <c r="B659" t="s">
        <v>36</v>
      </c>
      <c r="C659" t="s">
        <v>38</v>
      </c>
      <c r="D659" s="1">
        <v>70000</v>
      </c>
      <c r="E659" s="3">
        <v>1</v>
      </c>
      <c r="F659" t="s">
        <v>19</v>
      </c>
      <c r="G659" t="s">
        <v>14</v>
      </c>
      <c r="H659" t="s">
        <v>15</v>
      </c>
      <c r="I659" s="3">
        <v>1</v>
      </c>
      <c r="J659" t="s">
        <v>16</v>
      </c>
      <c r="K659" t="s">
        <v>32</v>
      </c>
      <c r="L659" s="3">
        <v>44</v>
      </c>
      <c r="M659" s="3" t="str" cm="1">
        <f t="array" ref="M659">_xlfn.IFS(
L659&gt;=65,"Retirement Age",
AND(L659&lt;65,L659&gt;=40),"Middle Aged",
AND(L659&lt;40,L659&gt;=30),"In the 30s",
L659&lt;30,"Below 30")</f>
        <v>Middle Aged</v>
      </c>
      <c r="N659" t="s">
        <v>18</v>
      </c>
    </row>
    <row r="660" spans="1:14" x14ac:dyDescent="0.25">
      <c r="A660">
        <v>19133</v>
      </c>
      <c r="B660" t="s">
        <v>37</v>
      </c>
      <c r="C660" t="s">
        <v>38</v>
      </c>
      <c r="D660" s="1">
        <v>50000</v>
      </c>
      <c r="E660" s="3">
        <v>2</v>
      </c>
      <c r="F660" t="s">
        <v>13</v>
      </c>
      <c r="G660" t="s">
        <v>14</v>
      </c>
      <c r="H660" t="s">
        <v>15</v>
      </c>
      <c r="I660" s="3">
        <v>1</v>
      </c>
      <c r="J660" t="s">
        <v>22</v>
      </c>
      <c r="K660" t="s">
        <v>32</v>
      </c>
      <c r="L660" s="3">
        <v>38</v>
      </c>
      <c r="M660" s="3" t="str" cm="1">
        <f t="array" ref="M660">_xlfn.IFS(
L660&gt;=65,"Retirement Age",
AND(L660&lt;65,L660&gt;=40),"Middle Aged",
AND(L660&lt;40,L660&gt;=30),"In the 30s",
L660&lt;30,"Below 30")</f>
        <v>In the 30s</v>
      </c>
      <c r="N660" t="s">
        <v>15</v>
      </c>
    </row>
    <row r="661" spans="1:14" x14ac:dyDescent="0.25">
      <c r="A661">
        <v>24643</v>
      </c>
      <c r="B661" t="s">
        <v>37</v>
      </c>
      <c r="C661" t="s">
        <v>39</v>
      </c>
      <c r="D661" s="1">
        <v>60000</v>
      </c>
      <c r="E661" s="3">
        <v>4</v>
      </c>
      <c r="F661" t="s">
        <v>13</v>
      </c>
      <c r="G661" t="s">
        <v>28</v>
      </c>
      <c r="H661" t="s">
        <v>15</v>
      </c>
      <c r="I661" s="3">
        <v>2</v>
      </c>
      <c r="J661" t="s">
        <v>45</v>
      </c>
      <c r="K661" t="s">
        <v>32</v>
      </c>
      <c r="L661" s="3">
        <v>63</v>
      </c>
      <c r="M661" s="3" t="str" cm="1">
        <f t="array" ref="M661">_xlfn.IFS(
L661&gt;=65,"Retirement Age",
AND(L661&lt;65,L661&gt;=40),"Middle Aged",
AND(L661&lt;40,L661&gt;=30),"In the 30s",
L661&lt;30,"Below 30")</f>
        <v>Middle Aged</v>
      </c>
      <c r="N661" t="s">
        <v>18</v>
      </c>
    </row>
    <row r="662" spans="1:14" x14ac:dyDescent="0.25">
      <c r="A662">
        <v>21599</v>
      </c>
      <c r="B662" t="s">
        <v>36</v>
      </c>
      <c r="C662" t="s">
        <v>39</v>
      </c>
      <c r="D662" s="1">
        <v>60000</v>
      </c>
      <c r="E662" s="3">
        <v>1</v>
      </c>
      <c r="F662" t="s">
        <v>31</v>
      </c>
      <c r="G662" t="s">
        <v>21</v>
      </c>
      <c r="H662" t="s">
        <v>15</v>
      </c>
      <c r="I662" s="3">
        <v>0</v>
      </c>
      <c r="J662" t="s">
        <v>22</v>
      </c>
      <c r="K662" t="s">
        <v>32</v>
      </c>
      <c r="L662" s="3">
        <v>36</v>
      </c>
      <c r="M662" s="3" t="str" cm="1">
        <f t="array" ref="M662">_xlfn.IFS(
L662&gt;=65,"Retirement Age",
AND(L662&lt;65,L662&gt;=40),"Middle Aged",
AND(L662&lt;40,L662&gt;=30),"In the 30s",
L662&lt;30,"Below 30")</f>
        <v>In the 30s</v>
      </c>
      <c r="N662" t="s">
        <v>15</v>
      </c>
    </row>
    <row r="663" spans="1:14" x14ac:dyDescent="0.25">
      <c r="A663">
        <v>22976</v>
      </c>
      <c r="B663" t="s">
        <v>37</v>
      </c>
      <c r="C663" t="s">
        <v>38</v>
      </c>
      <c r="D663" s="1">
        <v>40000</v>
      </c>
      <c r="E663" s="3">
        <v>0</v>
      </c>
      <c r="F663" t="s">
        <v>27</v>
      </c>
      <c r="G663" t="s">
        <v>14</v>
      </c>
      <c r="H663" t="s">
        <v>18</v>
      </c>
      <c r="I663" s="3">
        <v>2</v>
      </c>
      <c r="J663" t="s">
        <v>16</v>
      </c>
      <c r="K663" t="s">
        <v>32</v>
      </c>
      <c r="L663" s="3">
        <v>28</v>
      </c>
      <c r="M663" s="3" t="str" cm="1">
        <f t="array" ref="M663">_xlfn.IFS(
L663&gt;=65,"Retirement Age",
AND(L663&lt;65,L663&gt;=40),"Middle Aged",
AND(L663&lt;40,L663&gt;=30),"In the 30s",
L663&lt;30,"Below 30")</f>
        <v>Below 30</v>
      </c>
      <c r="N663" t="s">
        <v>15</v>
      </c>
    </row>
    <row r="664" spans="1:14" x14ac:dyDescent="0.25">
      <c r="A664">
        <v>27637</v>
      </c>
      <c r="B664" t="s">
        <v>37</v>
      </c>
      <c r="C664" t="s">
        <v>39</v>
      </c>
      <c r="D664" s="1">
        <v>100000</v>
      </c>
      <c r="E664" s="3">
        <v>1</v>
      </c>
      <c r="F664" t="s">
        <v>19</v>
      </c>
      <c r="G664" t="s">
        <v>21</v>
      </c>
      <c r="H664" t="s">
        <v>18</v>
      </c>
      <c r="I664" s="3">
        <v>3</v>
      </c>
      <c r="J664" t="s">
        <v>26</v>
      </c>
      <c r="K664" t="s">
        <v>32</v>
      </c>
      <c r="L664" s="3">
        <v>44</v>
      </c>
      <c r="M664" s="3" t="str" cm="1">
        <f t="array" ref="M664">_xlfn.IFS(
L664&gt;=65,"Retirement Age",
AND(L664&lt;65,L664&gt;=40),"Middle Aged",
AND(L664&lt;40,L664&gt;=30),"In the 30s",
L664&lt;30,"Below 30")</f>
        <v>Middle Aged</v>
      </c>
      <c r="N664" t="s">
        <v>18</v>
      </c>
    </row>
    <row r="665" spans="1:14" x14ac:dyDescent="0.25">
      <c r="A665">
        <v>11890</v>
      </c>
      <c r="B665" t="s">
        <v>36</v>
      </c>
      <c r="C665" t="s">
        <v>39</v>
      </c>
      <c r="D665" s="1">
        <v>70000</v>
      </c>
      <c r="E665" s="3">
        <v>5</v>
      </c>
      <c r="F665" t="s">
        <v>31</v>
      </c>
      <c r="G665" t="s">
        <v>21</v>
      </c>
      <c r="H665" t="s">
        <v>15</v>
      </c>
      <c r="I665" s="3">
        <v>1</v>
      </c>
      <c r="J665" t="s">
        <v>16</v>
      </c>
      <c r="K665" t="s">
        <v>32</v>
      </c>
      <c r="L665" s="3">
        <v>47</v>
      </c>
      <c r="M665" s="3" t="str" cm="1">
        <f t="array" ref="M665">_xlfn.IFS(
L665&gt;=65,"Retirement Age",
AND(L665&lt;65,L665&gt;=40),"Middle Aged",
AND(L665&lt;40,L665&gt;=30),"In the 30s",
L665&lt;30,"Below 30")</f>
        <v>Middle Aged</v>
      </c>
      <c r="N665" t="s">
        <v>18</v>
      </c>
    </row>
    <row r="666" spans="1:14" x14ac:dyDescent="0.25">
      <c r="A666">
        <v>28580</v>
      </c>
      <c r="B666" t="s">
        <v>36</v>
      </c>
      <c r="C666" t="s">
        <v>39</v>
      </c>
      <c r="D666" s="1">
        <v>80000</v>
      </c>
      <c r="E666" s="3">
        <v>0</v>
      </c>
      <c r="F666" t="s">
        <v>31</v>
      </c>
      <c r="G666" t="s">
        <v>14</v>
      </c>
      <c r="H666" t="s">
        <v>15</v>
      </c>
      <c r="I666" s="3">
        <v>0</v>
      </c>
      <c r="J666" t="s">
        <v>26</v>
      </c>
      <c r="K666" t="s">
        <v>32</v>
      </c>
      <c r="L666" s="3">
        <v>40</v>
      </c>
      <c r="M666" s="3" t="str" cm="1">
        <f t="array" ref="M666">_xlfn.IFS(
L666&gt;=65,"Retirement Age",
AND(L666&lt;65,L666&gt;=40),"Middle Aged",
AND(L666&lt;40,L666&gt;=30),"In the 30s",
L666&lt;30,"Below 30")</f>
        <v>Middle Aged</v>
      </c>
      <c r="N666" t="s">
        <v>15</v>
      </c>
    </row>
    <row r="667" spans="1:14" x14ac:dyDescent="0.25">
      <c r="A667">
        <v>14443</v>
      </c>
      <c r="B667" t="s">
        <v>36</v>
      </c>
      <c r="C667" t="s">
        <v>38</v>
      </c>
      <c r="D667" s="1">
        <v>130000</v>
      </c>
      <c r="E667" s="3">
        <v>1</v>
      </c>
      <c r="F667" t="s">
        <v>31</v>
      </c>
      <c r="G667" t="s">
        <v>28</v>
      </c>
      <c r="H667" t="s">
        <v>15</v>
      </c>
      <c r="I667" s="3">
        <v>4</v>
      </c>
      <c r="J667" t="s">
        <v>16</v>
      </c>
      <c r="K667" t="s">
        <v>32</v>
      </c>
      <c r="L667" s="3">
        <v>40</v>
      </c>
      <c r="M667" s="3" t="str" cm="1">
        <f t="array" ref="M667">_xlfn.IFS(
L667&gt;=65,"Retirement Age",
AND(L667&lt;65,L667&gt;=40),"Middle Aged",
AND(L667&lt;40,L667&gt;=30),"In the 30s",
L667&lt;30,"Below 30")</f>
        <v>Middle Aged</v>
      </c>
      <c r="N667" t="s">
        <v>18</v>
      </c>
    </row>
    <row r="668" spans="1:14" x14ac:dyDescent="0.25">
      <c r="A668">
        <v>17864</v>
      </c>
      <c r="B668" t="s">
        <v>36</v>
      </c>
      <c r="C668" t="s">
        <v>39</v>
      </c>
      <c r="D668" s="1">
        <v>60000</v>
      </c>
      <c r="E668" s="3">
        <v>1</v>
      </c>
      <c r="F668" t="s">
        <v>19</v>
      </c>
      <c r="G668" t="s">
        <v>14</v>
      </c>
      <c r="H668" t="s">
        <v>15</v>
      </c>
      <c r="I668" s="3">
        <v>1</v>
      </c>
      <c r="J668" t="s">
        <v>22</v>
      </c>
      <c r="K668" t="s">
        <v>32</v>
      </c>
      <c r="L668" s="3">
        <v>46</v>
      </c>
      <c r="M668" s="3" t="str" cm="1">
        <f t="array" ref="M668">_xlfn.IFS(
L668&gt;=65,"Retirement Age",
AND(L668&lt;65,L668&gt;=40),"Middle Aged",
AND(L668&lt;40,L668&gt;=30),"In the 30s",
L668&lt;30,"Below 30")</f>
        <v>Middle Aged</v>
      </c>
      <c r="N668" t="s">
        <v>15</v>
      </c>
    </row>
    <row r="669" spans="1:14" x14ac:dyDescent="0.25">
      <c r="A669">
        <v>20505</v>
      </c>
      <c r="B669" t="s">
        <v>36</v>
      </c>
      <c r="C669" t="s">
        <v>39</v>
      </c>
      <c r="D669" s="1">
        <v>40000</v>
      </c>
      <c r="E669" s="3">
        <v>5</v>
      </c>
      <c r="F669" t="s">
        <v>27</v>
      </c>
      <c r="G669" t="s">
        <v>21</v>
      </c>
      <c r="H669" t="s">
        <v>18</v>
      </c>
      <c r="I669" s="3">
        <v>2</v>
      </c>
      <c r="J669" t="s">
        <v>45</v>
      </c>
      <c r="K669" t="s">
        <v>32</v>
      </c>
      <c r="L669" s="3">
        <v>61</v>
      </c>
      <c r="M669" s="3" t="str" cm="1">
        <f t="array" ref="M669">_xlfn.IFS(
L669&gt;=65,"Retirement Age",
AND(L669&lt;65,L669&gt;=40),"Middle Aged",
AND(L669&lt;40,L669&gt;=30),"In the 30s",
L669&lt;30,"Below 30")</f>
        <v>Middle Aged</v>
      </c>
      <c r="N669" t="s">
        <v>18</v>
      </c>
    </row>
    <row r="670" spans="1:14" x14ac:dyDescent="0.25">
      <c r="A670">
        <v>14592</v>
      </c>
      <c r="B670" t="s">
        <v>36</v>
      </c>
      <c r="C670" t="s">
        <v>39</v>
      </c>
      <c r="D670" s="1">
        <v>60000</v>
      </c>
      <c r="E670" s="3">
        <v>0</v>
      </c>
      <c r="F670" t="s">
        <v>31</v>
      </c>
      <c r="G670" t="s">
        <v>21</v>
      </c>
      <c r="H670" t="s">
        <v>15</v>
      </c>
      <c r="I670" s="3">
        <v>0</v>
      </c>
      <c r="J670" t="s">
        <v>16</v>
      </c>
      <c r="K670" t="s">
        <v>32</v>
      </c>
      <c r="L670" s="3">
        <v>40</v>
      </c>
      <c r="M670" s="3" t="str" cm="1">
        <f t="array" ref="M670">_xlfn.IFS(
L670&gt;=65,"Retirement Age",
AND(L670&lt;65,L670&gt;=40),"Middle Aged",
AND(L670&lt;40,L670&gt;=30),"In the 30s",
L670&lt;30,"Below 30")</f>
        <v>Middle Aged</v>
      </c>
      <c r="N670" t="s">
        <v>18</v>
      </c>
    </row>
    <row r="671" spans="1:14" x14ac:dyDescent="0.25">
      <c r="A671">
        <v>22227</v>
      </c>
      <c r="B671" t="s">
        <v>36</v>
      </c>
      <c r="C671" t="s">
        <v>39</v>
      </c>
      <c r="D671" s="1">
        <v>60000</v>
      </c>
      <c r="E671" s="3">
        <v>2</v>
      </c>
      <c r="F671" t="s">
        <v>27</v>
      </c>
      <c r="G671" t="s">
        <v>21</v>
      </c>
      <c r="H671" t="s">
        <v>15</v>
      </c>
      <c r="I671" s="3">
        <v>2</v>
      </c>
      <c r="J671" t="s">
        <v>23</v>
      </c>
      <c r="K671" t="s">
        <v>32</v>
      </c>
      <c r="L671" s="3">
        <v>50</v>
      </c>
      <c r="M671" s="3" t="str" cm="1">
        <f t="array" ref="M671">_xlfn.IFS(
L671&gt;=65,"Retirement Age",
AND(L671&lt;65,L671&gt;=40),"Middle Aged",
AND(L671&lt;40,L671&gt;=30),"In the 30s",
L671&lt;30,"Below 30")</f>
        <v>Middle Aged</v>
      </c>
      <c r="N671" t="s">
        <v>18</v>
      </c>
    </row>
    <row r="672" spans="1:14" x14ac:dyDescent="0.25">
      <c r="A672">
        <v>21471</v>
      </c>
      <c r="B672" t="s">
        <v>36</v>
      </c>
      <c r="C672" t="s">
        <v>38</v>
      </c>
      <c r="D672" s="1">
        <v>70000</v>
      </c>
      <c r="E672" s="3">
        <v>2</v>
      </c>
      <c r="F672" t="s">
        <v>19</v>
      </c>
      <c r="G672" t="s">
        <v>21</v>
      </c>
      <c r="H672" t="s">
        <v>15</v>
      </c>
      <c r="I672" s="3">
        <v>1</v>
      </c>
      <c r="J672" t="s">
        <v>45</v>
      </c>
      <c r="K672" t="s">
        <v>32</v>
      </c>
      <c r="L672" s="3">
        <v>59</v>
      </c>
      <c r="M672" s="3" t="str" cm="1">
        <f t="array" ref="M672">_xlfn.IFS(
L672&gt;=65,"Retirement Age",
AND(L672&lt;65,L672&gt;=40),"Middle Aged",
AND(L672&lt;40,L672&gt;=30),"In the 30s",
L672&lt;30,"Below 30")</f>
        <v>Middle Aged</v>
      </c>
      <c r="N672" t="s">
        <v>18</v>
      </c>
    </row>
    <row r="673" spans="1:14" x14ac:dyDescent="0.25">
      <c r="A673">
        <v>22252</v>
      </c>
      <c r="B673" t="s">
        <v>37</v>
      </c>
      <c r="C673" t="s">
        <v>39</v>
      </c>
      <c r="D673" s="1">
        <v>60000</v>
      </c>
      <c r="E673" s="3">
        <v>1</v>
      </c>
      <c r="F673" t="s">
        <v>31</v>
      </c>
      <c r="G673" t="s">
        <v>21</v>
      </c>
      <c r="H673" t="s">
        <v>15</v>
      </c>
      <c r="I673" s="3">
        <v>0</v>
      </c>
      <c r="J673" t="s">
        <v>22</v>
      </c>
      <c r="K673" t="s">
        <v>32</v>
      </c>
      <c r="L673" s="3">
        <v>36</v>
      </c>
      <c r="M673" s="3" t="str" cm="1">
        <f t="array" ref="M673">_xlfn.IFS(
L673&gt;=65,"Retirement Age",
AND(L673&lt;65,L673&gt;=40),"Middle Aged",
AND(L673&lt;40,L673&gt;=30),"In the 30s",
L673&lt;30,"Below 30")</f>
        <v>In the 30s</v>
      </c>
      <c r="N673" t="s">
        <v>15</v>
      </c>
    </row>
    <row r="674" spans="1:14" x14ac:dyDescent="0.25">
      <c r="A674">
        <v>21260</v>
      </c>
      <c r="B674" t="s">
        <v>37</v>
      </c>
      <c r="C674" t="s">
        <v>39</v>
      </c>
      <c r="D674" s="1">
        <v>40000</v>
      </c>
      <c r="E674" s="3">
        <v>0</v>
      </c>
      <c r="F674" t="s">
        <v>27</v>
      </c>
      <c r="G674" t="s">
        <v>14</v>
      </c>
      <c r="H674" t="s">
        <v>15</v>
      </c>
      <c r="I674" s="3">
        <v>2</v>
      </c>
      <c r="J674" t="s">
        <v>23</v>
      </c>
      <c r="K674" t="s">
        <v>32</v>
      </c>
      <c r="L674" s="3">
        <v>30</v>
      </c>
      <c r="M674" s="3" t="str" cm="1">
        <f t="array" ref="M674">_xlfn.IFS(
L674&gt;=65,"Retirement Age",
AND(L674&lt;65,L674&gt;=40),"Middle Aged",
AND(L674&lt;40,L674&gt;=30),"In the 30s",
L674&lt;30,"Below 30")</f>
        <v>In the 30s</v>
      </c>
      <c r="N674" t="s">
        <v>18</v>
      </c>
    </row>
    <row r="675" spans="1:14" x14ac:dyDescent="0.25">
      <c r="A675">
        <v>11817</v>
      </c>
      <c r="B675" t="s">
        <v>37</v>
      </c>
      <c r="C675" t="s">
        <v>39</v>
      </c>
      <c r="D675" s="1">
        <v>70000</v>
      </c>
      <c r="E675" s="3">
        <v>4</v>
      </c>
      <c r="F675" t="s">
        <v>31</v>
      </c>
      <c r="G675" t="s">
        <v>21</v>
      </c>
      <c r="H675" t="s">
        <v>15</v>
      </c>
      <c r="I675" s="3">
        <v>0</v>
      </c>
      <c r="J675" t="s">
        <v>22</v>
      </c>
      <c r="K675" t="s">
        <v>32</v>
      </c>
      <c r="L675" s="3">
        <v>35</v>
      </c>
      <c r="M675" s="3" t="str" cm="1">
        <f t="array" ref="M675">_xlfn.IFS(
L675&gt;=65,"Retirement Age",
AND(L675&lt;65,L675&gt;=40),"Middle Aged",
AND(L675&lt;40,L675&gt;=30),"In the 30s",
L675&lt;30,"Below 30")</f>
        <v>In the 30s</v>
      </c>
      <c r="N675" t="s">
        <v>15</v>
      </c>
    </row>
    <row r="676" spans="1:14" x14ac:dyDescent="0.25">
      <c r="A676">
        <v>19223</v>
      </c>
      <c r="B676" t="s">
        <v>36</v>
      </c>
      <c r="C676" t="s">
        <v>39</v>
      </c>
      <c r="D676" s="1">
        <v>30000</v>
      </c>
      <c r="E676" s="3">
        <v>2</v>
      </c>
      <c r="F676" t="s">
        <v>27</v>
      </c>
      <c r="G676" t="s">
        <v>14</v>
      </c>
      <c r="H676" t="s">
        <v>15</v>
      </c>
      <c r="I676" s="3">
        <v>2</v>
      </c>
      <c r="J676" t="s">
        <v>26</v>
      </c>
      <c r="K676" t="s">
        <v>32</v>
      </c>
      <c r="L676" s="3">
        <v>48</v>
      </c>
      <c r="M676" s="3" t="str" cm="1">
        <f t="array" ref="M676">_xlfn.IFS(
L676&gt;=65,"Retirement Age",
AND(L676&lt;65,L676&gt;=40),"Middle Aged",
AND(L676&lt;40,L676&gt;=30),"In the 30s",
L676&lt;30,"Below 30")</f>
        <v>Middle Aged</v>
      </c>
      <c r="N676" t="s">
        <v>18</v>
      </c>
    </row>
    <row r="677" spans="1:14" x14ac:dyDescent="0.25">
      <c r="A677">
        <v>18517</v>
      </c>
      <c r="B677" t="s">
        <v>36</v>
      </c>
      <c r="C677" t="s">
        <v>38</v>
      </c>
      <c r="D677" s="1">
        <v>100000</v>
      </c>
      <c r="E677" s="3">
        <v>3</v>
      </c>
      <c r="F677" t="s">
        <v>13</v>
      </c>
      <c r="G677" t="s">
        <v>28</v>
      </c>
      <c r="H677" t="s">
        <v>15</v>
      </c>
      <c r="I677" s="3">
        <v>4</v>
      </c>
      <c r="J677" t="s">
        <v>16</v>
      </c>
      <c r="K677" t="s">
        <v>32</v>
      </c>
      <c r="L677" s="3">
        <v>41</v>
      </c>
      <c r="M677" s="3" t="str" cm="1">
        <f t="array" ref="M677">_xlfn.IFS(
L677&gt;=65,"Retirement Age",
AND(L677&lt;65,L677&gt;=40),"Middle Aged",
AND(L677&lt;40,L677&gt;=30),"In the 30s",
L677&lt;30,"Below 30")</f>
        <v>Middle Aged</v>
      </c>
      <c r="N677" t="s">
        <v>18</v>
      </c>
    </row>
    <row r="678" spans="1:14" x14ac:dyDescent="0.25">
      <c r="A678">
        <v>21717</v>
      </c>
      <c r="B678" t="s">
        <v>36</v>
      </c>
      <c r="C678" t="s">
        <v>38</v>
      </c>
      <c r="D678" s="1">
        <v>40000</v>
      </c>
      <c r="E678" s="3">
        <v>2</v>
      </c>
      <c r="F678" t="s">
        <v>19</v>
      </c>
      <c r="G678" t="s">
        <v>20</v>
      </c>
      <c r="H678" t="s">
        <v>15</v>
      </c>
      <c r="I678" s="3">
        <v>1</v>
      </c>
      <c r="J678" t="s">
        <v>16</v>
      </c>
      <c r="K678" t="s">
        <v>32</v>
      </c>
      <c r="L678" s="3">
        <v>47</v>
      </c>
      <c r="M678" s="3" t="str" cm="1">
        <f t="array" ref="M678">_xlfn.IFS(
L678&gt;=65,"Retirement Age",
AND(L678&lt;65,L678&gt;=40),"Middle Aged",
AND(L678&lt;40,L678&gt;=30),"In the 30s",
L678&lt;30,"Below 30")</f>
        <v>Middle Aged</v>
      </c>
      <c r="N678" t="s">
        <v>18</v>
      </c>
    </row>
    <row r="679" spans="1:14" x14ac:dyDescent="0.25">
      <c r="A679">
        <v>13760</v>
      </c>
      <c r="B679" t="s">
        <v>36</v>
      </c>
      <c r="C679" t="s">
        <v>38</v>
      </c>
      <c r="D679" s="1">
        <v>60000</v>
      </c>
      <c r="E679" s="3">
        <v>4</v>
      </c>
      <c r="F679" t="s">
        <v>31</v>
      </c>
      <c r="G679" t="s">
        <v>14</v>
      </c>
      <c r="H679" t="s">
        <v>18</v>
      </c>
      <c r="I679" s="3">
        <v>0</v>
      </c>
      <c r="J679" t="s">
        <v>16</v>
      </c>
      <c r="K679" t="s">
        <v>32</v>
      </c>
      <c r="L679" s="3">
        <v>47</v>
      </c>
      <c r="M679" s="3" t="str" cm="1">
        <f t="array" ref="M679">_xlfn.IFS(
L679&gt;=65,"Retirement Age",
AND(L679&lt;65,L679&gt;=40),"Middle Aged",
AND(L679&lt;40,L679&gt;=30),"In the 30s",
L679&lt;30,"Below 30")</f>
        <v>Middle Aged</v>
      </c>
      <c r="N679" t="s">
        <v>18</v>
      </c>
    </row>
    <row r="680" spans="1:14" x14ac:dyDescent="0.25">
      <c r="A680">
        <v>18145</v>
      </c>
      <c r="B680" t="s">
        <v>36</v>
      </c>
      <c r="C680" t="s">
        <v>38</v>
      </c>
      <c r="D680" s="1">
        <v>80000</v>
      </c>
      <c r="E680" s="3">
        <v>5</v>
      </c>
      <c r="F680" t="s">
        <v>13</v>
      </c>
      <c r="G680" t="s">
        <v>28</v>
      </c>
      <c r="H680" t="s">
        <v>18</v>
      </c>
      <c r="I680" s="3">
        <v>2</v>
      </c>
      <c r="J680" t="s">
        <v>22</v>
      </c>
      <c r="K680" t="s">
        <v>17</v>
      </c>
      <c r="L680" s="3">
        <v>62</v>
      </c>
      <c r="M680" s="3" t="str" cm="1">
        <f t="array" ref="M680">_xlfn.IFS(
L680&gt;=65,"Retirement Age",
AND(L680&lt;65,L680&gt;=40),"Middle Aged",
AND(L680&lt;40,L680&gt;=30),"In the 30s",
L680&lt;30,"Below 30")</f>
        <v>Middle Aged</v>
      </c>
      <c r="N680" t="s">
        <v>18</v>
      </c>
    </row>
    <row r="681" spans="1:14" x14ac:dyDescent="0.25">
      <c r="A681">
        <v>21770</v>
      </c>
      <c r="B681" t="s">
        <v>36</v>
      </c>
      <c r="C681" t="s">
        <v>38</v>
      </c>
      <c r="D681" s="1">
        <v>60000</v>
      </c>
      <c r="E681" s="3">
        <v>4</v>
      </c>
      <c r="F681" t="s">
        <v>13</v>
      </c>
      <c r="G681" t="s">
        <v>28</v>
      </c>
      <c r="H681" t="s">
        <v>15</v>
      </c>
      <c r="I681" s="3">
        <v>2</v>
      </c>
      <c r="J681" t="s">
        <v>45</v>
      </c>
      <c r="K681" t="s">
        <v>32</v>
      </c>
      <c r="L681" s="3">
        <v>60</v>
      </c>
      <c r="M681" s="3" t="str" cm="1">
        <f t="array" ref="M681">_xlfn.IFS(
L681&gt;=65,"Retirement Age",
AND(L681&lt;65,L681&gt;=40),"Middle Aged",
AND(L681&lt;40,L681&gt;=30),"In the 30s",
L681&lt;30,"Below 30")</f>
        <v>Middle Aged</v>
      </c>
      <c r="N681" t="s">
        <v>18</v>
      </c>
    </row>
    <row r="682" spans="1:14" x14ac:dyDescent="0.25">
      <c r="A682">
        <v>11165</v>
      </c>
      <c r="B682" t="s">
        <v>36</v>
      </c>
      <c r="C682" t="s">
        <v>39</v>
      </c>
      <c r="D682" s="1">
        <v>60000</v>
      </c>
      <c r="E682" s="3">
        <v>0</v>
      </c>
      <c r="F682" t="s">
        <v>19</v>
      </c>
      <c r="G682" t="s">
        <v>14</v>
      </c>
      <c r="H682" t="s">
        <v>18</v>
      </c>
      <c r="I682" s="3">
        <v>1</v>
      </c>
      <c r="J682" t="s">
        <v>26</v>
      </c>
      <c r="K682" t="s">
        <v>32</v>
      </c>
      <c r="L682" s="3">
        <v>33</v>
      </c>
      <c r="M682" s="3" t="str" cm="1">
        <f t="array" ref="M682">_xlfn.IFS(
L682&gt;=65,"Retirement Age",
AND(L682&lt;65,L682&gt;=40),"Middle Aged",
AND(L682&lt;40,L682&gt;=30),"In the 30s",
L682&lt;30,"Below 30")</f>
        <v>In the 30s</v>
      </c>
      <c r="N682" t="s">
        <v>18</v>
      </c>
    </row>
    <row r="683" spans="1:14" x14ac:dyDescent="0.25">
      <c r="A683">
        <v>16377</v>
      </c>
      <c r="B683" t="s">
        <v>37</v>
      </c>
      <c r="C683" t="s">
        <v>39</v>
      </c>
      <c r="D683" s="1">
        <v>80000</v>
      </c>
      <c r="E683" s="3">
        <v>4</v>
      </c>
      <c r="F683" t="s">
        <v>31</v>
      </c>
      <c r="G683" t="s">
        <v>14</v>
      </c>
      <c r="H683" t="s">
        <v>18</v>
      </c>
      <c r="I683" s="3">
        <v>0</v>
      </c>
      <c r="J683" t="s">
        <v>16</v>
      </c>
      <c r="K683" t="s">
        <v>32</v>
      </c>
      <c r="L683" s="3">
        <v>47</v>
      </c>
      <c r="M683" s="3" t="str" cm="1">
        <f t="array" ref="M683">_xlfn.IFS(
L683&gt;=65,"Retirement Age",
AND(L683&lt;65,L683&gt;=40),"Middle Aged",
AND(L683&lt;40,L683&gt;=30),"In the 30s",
L683&lt;30,"Below 30")</f>
        <v>Middle Aged</v>
      </c>
      <c r="N683" t="s">
        <v>18</v>
      </c>
    </row>
    <row r="684" spans="1:14" x14ac:dyDescent="0.25">
      <c r="A684">
        <v>26248</v>
      </c>
      <c r="B684" t="s">
        <v>36</v>
      </c>
      <c r="C684" t="s">
        <v>38</v>
      </c>
      <c r="D684" s="1">
        <v>20000</v>
      </c>
      <c r="E684" s="3">
        <v>3</v>
      </c>
      <c r="F684" t="s">
        <v>29</v>
      </c>
      <c r="G684" t="s">
        <v>20</v>
      </c>
      <c r="H684" t="s">
        <v>18</v>
      </c>
      <c r="I684" s="3">
        <v>2</v>
      </c>
      <c r="J684" t="s">
        <v>16</v>
      </c>
      <c r="K684" t="s">
        <v>32</v>
      </c>
      <c r="L684" s="3">
        <v>52</v>
      </c>
      <c r="M684" s="3" t="str" cm="1">
        <f t="array" ref="M684">_xlfn.IFS(
L684&gt;=65,"Retirement Age",
AND(L684&lt;65,L684&gt;=40),"Middle Aged",
AND(L684&lt;40,L684&gt;=30),"In the 30s",
L684&lt;30,"Below 30")</f>
        <v>Middle Aged</v>
      </c>
      <c r="N684" t="s">
        <v>18</v>
      </c>
    </row>
    <row r="685" spans="1:14" x14ac:dyDescent="0.25">
      <c r="A685">
        <v>23461</v>
      </c>
      <c r="B685" t="s">
        <v>36</v>
      </c>
      <c r="C685" t="s">
        <v>39</v>
      </c>
      <c r="D685" s="1">
        <v>90000</v>
      </c>
      <c r="E685" s="3">
        <v>5</v>
      </c>
      <c r="F685" t="s">
        <v>19</v>
      </c>
      <c r="G685" t="s">
        <v>21</v>
      </c>
      <c r="H685" t="s">
        <v>15</v>
      </c>
      <c r="I685" s="3">
        <v>3</v>
      </c>
      <c r="J685" t="s">
        <v>22</v>
      </c>
      <c r="K685" t="s">
        <v>32</v>
      </c>
      <c r="L685" s="3">
        <v>40</v>
      </c>
      <c r="M685" s="3" t="str" cm="1">
        <f t="array" ref="M685">_xlfn.IFS(
L685&gt;=65,"Retirement Age",
AND(L685&lt;65,L685&gt;=40),"Middle Aged",
AND(L685&lt;40,L685&gt;=30),"In the 30s",
L685&lt;30,"Below 30")</f>
        <v>Middle Aged</v>
      </c>
      <c r="N685" t="s">
        <v>18</v>
      </c>
    </row>
    <row r="686" spans="1:14" x14ac:dyDescent="0.25">
      <c r="A686">
        <v>29133</v>
      </c>
      <c r="B686" t="s">
        <v>37</v>
      </c>
      <c r="C686" t="s">
        <v>39</v>
      </c>
      <c r="D686" s="1">
        <v>60000</v>
      </c>
      <c r="E686" s="3">
        <v>4</v>
      </c>
      <c r="F686" t="s">
        <v>13</v>
      </c>
      <c r="G686" t="s">
        <v>14</v>
      </c>
      <c r="H686" t="s">
        <v>18</v>
      </c>
      <c r="I686" s="3">
        <v>2</v>
      </c>
      <c r="J686" t="s">
        <v>16</v>
      </c>
      <c r="K686" t="s">
        <v>32</v>
      </c>
      <c r="L686" s="3">
        <v>42</v>
      </c>
      <c r="M686" s="3" t="str" cm="1">
        <f t="array" ref="M686">_xlfn.IFS(
L686&gt;=65,"Retirement Age",
AND(L686&lt;65,L686&gt;=40),"Middle Aged",
AND(L686&lt;40,L686&gt;=30),"In the 30s",
L686&lt;30,"Below 30")</f>
        <v>Middle Aged</v>
      </c>
      <c r="N686" t="s">
        <v>18</v>
      </c>
    </row>
    <row r="687" spans="1:14" x14ac:dyDescent="0.25">
      <c r="A687">
        <v>27673</v>
      </c>
      <c r="B687" t="s">
        <v>37</v>
      </c>
      <c r="C687" t="s">
        <v>39</v>
      </c>
      <c r="D687" s="1">
        <v>60000</v>
      </c>
      <c r="E687" s="3">
        <v>3</v>
      </c>
      <c r="F687" t="s">
        <v>31</v>
      </c>
      <c r="G687" t="s">
        <v>28</v>
      </c>
      <c r="H687" t="s">
        <v>15</v>
      </c>
      <c r="I687" s="3">
        <v>2</v>
      </c>
      <c r="J687" t="s">
        <v>23</v>
      </c>
      <c r="K687" t="s">
        <v>32</v>
      </c>
      <c r="L687" s="3">
        <v>53</v>
      </c>
      <c r="M687" s="3" t="str" cm="1">
        <f t="array" ref="M687">_xlfn.IFS(
L687&gt;=65,"Retirement Age",
AND(L687&lt;65,L687&gt;=40),"Middle Aged",
AND(L687&lt;40,L687&gt;=30),"In the 30s",
L687&lt;30,"Below 30")</f>
        <v>Middle Aged</v>
      </c>
      <c r="N687" t="s">
        <v>15</v>
      </c>
    </row>
    <row r="688" spans="1:14" x14ac:dyDescent="0.25">
      <c r="A688">
        <v>12774</v>
      </c>
      <c r="B688" t="s">
        <v>36</v>
      </c>
      <c r="C688" t="s">
        <v>39</v>
      </c>
      <c r="D688" s="1">
        <v>40000</v>
      </c>
      <c r="E688" s="3">
        <v>1</v>
      </c>
      <c r="F688" t="s">
        <v>19</v>
      </c>
      <c r="G688" t="s">
        <v>20</v>
      </c>
      <c r="H688" t="s">
        <v>15</v>
      </c>
      <c r="I688" s="3">
        <v>1</v>
      </c>
      <c r="J688" t="s">
        <v>26</v>
      </c>
      <c r="K688" t="s">
        <v>32</v>
      </c>
      <c r="L688" s="3">
        <v>51</v>
      </c>
      <c r="M688" s="3" t="str" cm="1">
        <f t="array" ref="M688">_xlfn.IFS(
L688&gt;=65,"Retirement Age",
AND(L688&lt;65,L688&gt;=40),"Middle Aged",
AND(L688&lt;40,L688&gt;=30),"In the 30s",
L688&lt;30,"Below 30")</f>
        <v>Middle Aged</v>
      </c>
      <c r="N688" t="s">
        <v>15</v>
      </c>
    </row>
    <row r="689" spans="1:14" x14ac:dyDescent="0.25">
      <c r="A689">
        <v>18910</v>
      </c>
      <c r="B689" t="s">
        <v>37</v>
      </c>
      <c r="C689" t="s">
        <v>38</v>
      </c>
      <c r="D689" s="1">
        <v>30000</v>
      </c>
      <c r="E689" s="3">
        <v>0</v>
      </c>
      <c r="F689" t="s">
        <v>19</v>
      </c>
      <c r="G689" t="s">
        <v>14</v>
      </c>
      <c r="H689" t="s">
        <v>15</v>
      </c>
      <c r="I689" s="3">
        <v>2</v>
      </c>
      <c r="J689" t="s">
        <v>23</v>
      </c>
      <c r="K689" t="s">
        <v>32</v>
      </c>
      <c r="L689" s="3">
        <v>30</v>
      </c>
      <c r="M689" s="3" t="str" cm="1">
        <f t="array" ref="M689">_xlfn.IFS(
L689&gt;=65,"Retirement Age",
AND(L689&lt;65,L689&gt;=40),"Middle Aged",
AND(L689&lt;40,L689&gt;=30),"In the 30s",
L689&lt;30,"Below 30")</f>
        <v>In the 30s</v>
      </c>
      <c r="N689" t="s">
        <v>18</v>
      </c>
    </row>
    <row r="690" spans="1:14" x14ac:dyDescent="0.25">
      <c r="A690">
        <v>11699</v>
      </c>
      <c r="B690" t="s">
        <v>37</v>
      </c>
      <c r="C690" t="s">
        <v>38</v>
      </c>
      <c r="D690" s="1">
        <v>60000</v>
      </c>
      <c r="E690" s="3">
        <v>0</v>
      </c>
      <c r="F690" t="s">
        <v>13</v>
      </c>
      <c r="G690" t="s">
        <v>14</v>
      </c>
      <c r="H690" t="s">
        <v>18</v>
      </c>
      <c r="I690" s="3">
        <v>2</v>
      </c>
      <c r="J690" t="s">
        <v>16</v>
      </c>
      <c r="K690" t="s">
        <v>32</v>
      </c>
      <c r="L690" s="3">
        <v>30</v>
      </c>
      <c r="M690" s="3" t="str" cm="1">
        <f t="array" ref="M690">_xlfn.IFS(
L690&gt;=65,"Retirement Age",
AND(L690&lt;65,L690&gt;=40),"Middle Aged",
AND(L690&lt;40,L690&gt;=30),"In the 30s",
L690&lt;30,"Below 30")</f>
        <v>In the 30s</v>
      </c>
      <c r="N690" t="s">
        <v>18</v>
      </c>
    </row>
    <row r="691" spans="1:14" x14ac:dyDescent="0.25">
      <c r="A691">
        <v>16725</v>
      </c>
      <c r="B691" t="s">
        <v>36</v>
      </c>
      <c r="C691" t="s">
        <v>38</v>
      </c>
      <c r="D691" s="1">
        <v>30000</v>
      </c>
      <c r="E691" s="3">
        <v>0</v>
      </c>
      <c r="F691" t="s">
        <v>27</v>
      </c>
      <c r="G691" t="s">
        <v>14</v>
      </c>
      <c r="H691" t="s">
        <v>15</v>
      </c>
      <c r="I691" s="3">
        <v>2</v>
      </c>
      <c r="J691" t="s">
        <v>23</v>
      </c>
      <c r="K691" t="s">
        <v>32</v>
      </c>
      <c r="L691" s="3">
        <v>26</v>
      </c>
      <c r="M691" s="3" t="str" cm="1">
        <f t="array" ref="M691">_xlfn.IFS(
L691&gt;=65,"Retirement Age",
AND(L691&lt;65,L691&gt;=40),"Middle Aged",
AND(L691&lt;40,L691&gt;=30),"In the 30s",
L691&lt;30,"Below 30")</f>
        <v>Below 30</v>
      </c>
      <c r="N691" t="s">
        <v>18</v>
      </c>
    </row>
    <row r="692" spans="1:14" x14ac:dyDescent="0.25">
      <c r="A692">
        <v>28269</v>
      </c>
      <c r="B692" t="s">
        <v>37</v>
      </c>
      <c r="C692" t="s">
        <v>39</v>
      </c>
      <c r="D692" s="1">
        <v>130000</v>
      </c>
      <c r="E692" s="3">
        <v>1</v>
      </c>
      <c r="F692" t="s">
        <v>13</v>
      </c>
      <c r="G692" t="s">
        <v>28</v>
      </c>
      <c r="H692" t="s">
        <v>18</v>
      </c>
      <c r="I692" s="3">
        <v>1</v>
      </c>
      <c r="J692" t="s">
        <v>22</v>
      </c>
      <c r="K692" t="s">
        <v>32</v>
      </c>
      <c r="L692" s="3">
        <v>45</v>
      </c>
      <c r="M692" s="3" t="str" cm="1">
        <f t="array" ref="M692">_xlfn.IFS(
L692&gt;=65,"Retirement Age",
AND(L692&lt;65,L692&gt;=40),"Middle Aged",
AND(L692&lt;40,L692&gt;=30),"In the 30s",
L692&lt;30,"Below 30")</f>
        <v>Middle Aged</v>
      </c>
      <c r="N692" t="s">
        <v>18</v>
      </c>
    </row>
    <row r="693" spans="1:14" x14ac:dyDescent="0.25">
      <c r="A693">
        <v>23144</v>
      </c>
      <c r="B693" t="s">
        <v>36</v>
      </c>
      <c r="C693" t="s">
        <v>38</v>
      </c>
      <c r="D693" s="1">
        <v>50000</v>
      </c>
      <c r="E693" s="3">
        <v>1</v>
      </c>
      <c r="F693" t="s">
        <v>13</v>
      </c>
      <c r="G693" t="s">
        <v>14</v>
      </c>
      <c r="H693" t="s">
        <v>15</v>
      </c>
      <c r="I693" s="3">
        <v>0</v>
      </c>
      <c r="J693" t="s">
        <v>16</v>
      </c>
      <c r="K693" t="s">
        <v>32</v>
      </c>
      <c r="L693" s="3">
        <v>34</v>
      </c>
      <c r="M693" s="3" t="str" cm="1">
        <f t="array" ref="M693">_xlfn.IFS(
L693&gt;=65,"Retirement Age",
AND(L693&lt;65,L693&gt;=40),"Middle Aged",
AND(L693&lt;40,L693&gt;=30),"In the 30s",
L693&lt;30,"Below 30")</f>
        <v>In the 30s</v>
      </c>
      <c r="N693" t="s">
        <v>15</v>
      </c>
    </row>
    <row r="694" spans="1:14" x14ac:dyDescent="0.25">
      <c r="A694">
        <v>23376</v>
      </c>
      <c r="B694" t="s">
        <v>36</v>
      </c>
      <c r="C694" t="s">
        <v>38</v>
      </c>
      <c r="D694" s="1">
        <v>70000</v>
      </c>
      <c r="E694" s="3">
        <v>1</v>
      </c>
      <c r="F694" t="s">
        <v>13</v>
      </c>
      <c r="G694" t="s">
        <v>21</v>
      </c>
      <c r="H694" t="s">
        <v>15</v>
      </c>
      <c r="I694" s="3">
        <v>1</v>
      </c>
      <c r="J694" t="s">
        <v>22</v>
      </c>
      <c r="K694" t="s">
        <v>32</v>
      </c>
      <c r="L694" s="3">
        <v>44</v>
      </c>
      <c r="M694" s="3" t="str" cm="1">
        <f t="array" ref="M694">_xlfn.IFS(
L694&gt;=65,"Retirement Age",
AND(L694&lt;65,L694&gt;=40),"Middle Aged",
AND(L694&lt;40,L694&gt;=30),"In the 30s",
L694&lt;30,"Below 30")</f>
        <v>Middle Aged</v>
      </c>
      <c r="N694" t="s">
        <v>15</v>
      </c>
    </row>
    <row r="695" spans="1:14" x14ac:dyDescent="0.25">
      <c r="A695">
        <v>25970</v>
      </c>
      <c r="B695" t="s">
        <v>37</v>
      </c>
      <c r="C695" t="s">
        <v>39</v>
      </c>
      <c r="D695" s="1">
        <v>60000</v>
      </c>
      <c r="E695" s="3">
        <v>4</v>
      </c>
      <c r="F695" t="s">
        <v>13</v>
      </c>
      <c r="G695" t="s">
        <v>14</v>
      </c>
      <c r="H695" t="s">
        <v>18</v>
      </c>
      <c r="I695" s="3">
        <v>2</v>
      </c>
      <c r="J695" t="s">
        <v>16</v>
      </c>
      <c r="K695" t="s">
        <v>32</v>
      </c>
      <c r="L695" s="3">
        <v>41</v>
      </c>
      <c r="M695" s="3" t="str" cm="1">
        <f t="array" ref="M695">_xlfn.IFS(
L695&gt;=65,"Retirement Age",
AND(L695&lt;65,L695&gt;=40),"Middle Aged",
AND(L695&lt;40,L695&gt;=30),"In the 30s",
L695&lt;30,"Below 30")</f>
        <v>Middle Aged</v>
      </c>
      <c r="N695" t="s">
        <v>15</v>
      </c>
    </row>
    <row r="696" spans="1:14" x14ac:dyDescent="0.25">
      <c r="A696">
        <v>28068</v>
      </c>
      <c r="B696" t="s">
        <v>37</v>
      </c>
      <c r="C696" t="s">
        <v>39</v>
      </c>
      <c r="D696" s="1">
        <v>80000</v>
      </c>
      <c r="E696" s="3">
        <v>3</v>
      </c>
      <c r="F696" t="s">
        <v>31</v>
      </c>
      <c r="G696" t="s">
        <v>21</v>
      </c>
      <c r="H696" t="s">
        <v>18</v>
      </c>
      <c r="I696" s="3">
        <v>0</v>
      </c>
      <c r="J696" t="s">
        <v>16</v>
      </c>
      <c r="K696" t="s">
        <v>32</v>
      </c>
      <c r="L696" s="3">
        <v>36</v>
      </c>
      <c r="M696" s="3" t="str" cm="1">
        <f t="array" ref="M696">_xlfn.IFS(
L696&gt;=65,"Retirement Age",
AND(L696&lt;65,L696&gt;=40),"Middle Aged",
AND(L696&lt;40,L696&gt;=30),"In the 30s",
L696&lt;30,"Below 30")</f>
        <v>In the 30s</v>
      </c>
      <c r="N696" t="s">
        <v>15</v>
      </c>
    </row>
    <row r="697" spans="1:14" x14ac:dyDescent="0.25">
      <c r="A697">
        <v>18390</v>
      </c>
      <c r="B697" t="s">
        <v>36</v>
      </c>
      <c r="C697" t="s">
        <v>38</v>
      </c>
      <c r="D697" s="1">
        <v>80000</v>
      </c>
      <c r="E697" s="3">
        <v>5</v>
      </c>
      <c r="F697" t="s">
        <v>19</v>
      </c>
      <c r="G697" t="s">
        <v>21</v>
      </c>
      <c r="H697" t="s">
        <v>15</v>
      </c>
      <c r="I697" s="3">
        <v>2</v>
      </c>
      <c r="J697" t="s">
        <v>16</v>
      </c>
      <c r="K697" t="s">
        <v>32</v>
      </c>
      <c r="L697" s="3">
        <v>44</v>
      </c>
      <c r="M697" s="3" t="str" cm="1">
        <f t="array" ref="M697">_xlfn.IFS(
L697&gt;=65,"Retirement Age",
AND(L697&lt;65,L697&gt;=40),"Middle Aged",
AND(L697&lt;40,L697&gt;=30),"In the 30s",
L697&lt;30,"Below 30")</f>
        <v>Middle Aged</v>
      </c>
      <c r="N697" t="s">
        <v>18</v>
      </c>
    </row>
    <row r="698" spans="1:14" x14ac:dyDescent="0.25">
      <c r="A698">
        <v>29112</v>
      </c>
      <c r="B698" t="s">
        <v>37</v>
      </c>
      <c r="C698" t="s">
        <v>38</v>
      </c>
      <c r="D698" s="1">
        <v>60000</v>
      </c>
      <c r="E698" s="3">
        <v>0</v>
      </c>
      <c r="F698" t="s">
        <v>19</v>
      </c>
      <c r="G698" t="s">
        <v>21</v>
      </c>
      <c r="H698" t="s">
        <v>18</v>
      </c>
      <c r="I698" s="3">
        <v>2</v>
      </c>
      <c r="J698" t="s">
        <v>26</v>
      </c>
      <c r="K698" t="s">
        <v>32</v>
      </c>
      <c r="L698" s="3">
        <v>30</v>
      </c>
      <c r="M698" s="3" t="str" cm="1">
        <f t="array" ref="M698">_xlfn.IFS(
L698&gt;=65,"Retirement Age",
AND(L698&lt;65,L698&gt;=40),"Middle Aged",
AND(L698&lt;40,L698&gt;=30),"In the 30s",
L698&lt;30,"Below 30")</f>
        <v>In the 30s</v>
      </c>
      <c r="N698" t="s">
        <v>18</v>
      </c>
    </row>
    <row r="699" spans="1:14" x14ac:dyDescent="0.25">
      <c r="A699">
        <v>14090</v>
      </c>
      <c r="B699" t="s">
        <v>36</v>
      </c>
      <c r="C699" t="s">
        <v>39</v>
      </c>
      <c r="D699" s="1">
        <v>30000</v>
      </c>
      <c r="E699" s="3">
        <v>0</v>
      </c>
      <c r="F699" t="s">
        <v>29</v>
      </c>
      <c r="G699" t="s">
        <v>20</v>
      </c>
      <c r="H699" t="s">
        <v>18</v>
      </c>
      <c r="I699" s="3">
        <v>2</v>
      </c>
      <c r="J699" t="s">
        <v>16</v>
      </c>
      <c r="K699" t="s">
        <v>32</v>
      </c>
      <c r="L699" s="3">
        <v>28</v>
      </c>
      <c r="M699" s="3" t="str" cm="1">
        <f t="array" ref="M699">_xlfn.IFS(
L699&gt;=65,"Retirement Age",
AND(L699&lt;65,L699&gt;=40),"Middle Aged",
AND(L699&lt;40,L699&gt;=30),"In the 30s",
L699&lt;30,"Below 30")</f>
        <v>Below 30</v>
      </c>
      <c r="N699" t="s">
        <v>18</v>
      </c>
    </row>
    <row r="700" spans="1:14" x14ac:dyDescent="0.25">
      <c r="A700">
        <v>27040</v>
      </c>
      <c r="B700" t="s">
        <v>36</v>
      </c>
      <c r="C700" t="s">
        <v>38</v>
      </c>
      <c r="D700" s="1">
        <v>20000</v>
      </c>
      <c r="E700" s="3">
        <v>2</v>
      </c>
      <c r="F700" t="s">
        <v>29</v>
      </c>
      <c r="G700" t="s">
        <v>20</v>
      </c>
      <c r="H700" t="s">
        <v>15</v>
      </c>
      <c r="I700" s="3">
        <v>2</v>
      </c>
      <c r="J700" t="s">
        <v>26</v>
      </c>
      <c r="K700" t="s">
        <v>32</v>
      </c>
      <c r="L700" s="3">
        <v>49</v>
      </c>
      <c r="M700" s="3" t="str" cm="1">
        <f t="array" ref="M700">_xlfn.IFS(
L700&gt;=65,"Retirement Age",
AND(L700&lt;65,L700&gt;=40),"Middle Aged",
AND(L700&lt;40,L700&gt;=30),"In the 30s",
L700&lt;30,"Below 30")</f>
        <v>Middle Aged</v>
      </c>
      <c r="N700" t="s">
        <v>18</v>
      </c>
    </row>
    <row r="701" spans="1:14" x14ac:dyDescent="0.25">
      <c r="A701">
        <v>23479</v>
      </c>
      <c r="B701" t="s">
        <v>37</v>
      </c>
      <c r="C701" t="s">
        <v>38</v>
      </c>
      <c r="D701" s="1">
        <v>90000</v>
      </c>
      <c r="E701" s="3">
        <v>0</v>
      </c>
      <c r="F701" t="s">
        <v>19</v>
      </c>
      <c r="G701" t="s">
        <v>21</v>
      </c>
      <c r="H701" t="s">
        <v>18</v>
      </c>
      <c r="I701" s="3">
        <v>2</v>
      </c>
      <c r="J701" t="s">
        <v>16</v>
      </c>
      <c r="K701" t="s">
        <v>32</v>
      </c>
      <c r="L701" s="3">
        <v>43</v>
      </c>
      <c r="M701" s="3" t="str" cm="1">
        <f t="array" ref="M701">_xlfn.IFS(
L701&gt;=65,"Retirement Age",
AND(L701&lt;65,L701&gt;=40),"Middle Aged",
AND(L701&lt;40,L701&gt;=30),"In the 30s",
L701&lt;30,"Below 30")</f>
        <v>Middle Aged</v>
      </c>
      <c r="N701" t="s">
        <v>15</v>
      </c>
    </row>
    <row r="702" spans="1:14" x14ac:dyDescent="0.25">
      <c r="A702">
        <v>16795</v>
      </c>
      <c r="B702" t="s">
        <v>36</v>
      </c>
      <c r="C702" t="s">
        <v>39</v>
      </c>
      <c r="D702" s="1">
        <v>70000</v>
      </c>
      <c r="E702" s="3">
        <v>4</v>
      </c>
      <c r="F702" t="s">
        <v>13</v>
      </c>
      <c r="G702" t="s">
        <v>28</v>
      </c>
      <c r="H702" t="s">
        <v>15</v>
      </c>
      <c r="I702" s="3">
        <v>1</v>
      </c>
      <c r="J702" t="s">
        <v>26</v>
      </c>
      <c r="K702" t="s">
        <v>32</v>
      </c>
      <c r="L702" s="3">
        <v>59</v>
      </c>
      <c r="M702" s="3" t="str" cm="1">
        <f t="array" ref="M702">_xlfn.IFS(
L702&gt;=65,"Retirement Age",
AND(L702&lt;65,L702&gt;=40),"Middle Aged",
AND(L702&lt;40,L702&gt;=30),"In the 30s",
L702&lt;30,"Below 30")</f>
        <v>Middle Aged</v>
      </c>
      <c r="N702" t="s">
        <v>18</v>
      </c>
    </row>
    <row r="703" spans="1:14" x14ac:dyDescent="0.25">
      <c r="A703">
        <v>22014</v>
      </c>
      <c r="B703" t="s">
        <v>37</v>
      </c>
      <c r="C703" t="s">
        <v>38</v>
      </c>
      <c r="D703" s="1">
        <v>30000</v>
      </c>
      <c r="E703" s="3">
        <v>0</v>
      </c>
      <c r="F703" t="s">
        <v>27</v>
      </c>
      <c r="G703" t="s">
        <v>14</v>
      </c>
      <c r="H703" t="s">
        <v>15</v>
      </c>
      <c r="I703" s="3">
        <v>2</v>
      </c>
      <c r="J703" t="s">
        <v>23</v>
      </c>
      <c r="K703" t="s">
        <v>32</v>
      </c>
      <c r="L703" s="3">
        <v>26</v>
      </c>
      <c r="M703" s="3" t="str" cm="1">
        <f t="array" ref="M703">_xlfn.IFS(
L703&gt;=65,"Retirement Age",
AND(L703&lt;65,L703&gt;=40),"Middle Aged",
AND(L703&lt;40,L703&gt;=30),"In the 30s",
L703&lt;30,"Below 30")</f>
        <v>Below 30</v>
      </c>
      <c r="N703" t="s">
        <v>18</v>
      </c>
    </row>
    <row r="704" spans="1:14" x14ac:dyDescent="0.25">
      <c r="A704">
        <v>13314</v>
      </c>
      <c r="B704" t="s">
        <v>36</v>
      </c>
      <c r="C704" t="s">
        <v>38</v>
      </c>
      <c r="D704" s="1">
        <v>120000</v>
      </c>
      <c r="E704" s="3">
        <v>1</v>
      </c>
      <c r="F704" t="s">
        <v>27</v>
      </c>
      <c r="G704" t="s">
        <v>21</v>
      </c>
      <c r="H704" t="s">
        <v>15</v>
      </c>
      <c r="I704" s="3">
        <v>4</v>
      </c>
      <c r="J704" t="s">
        <v>23</v>
      </c>
      <c r="K704" t="s">
        <v>32</v>
      </c>
      <c r="L704" s="3">
        <v>46</v>
      </c>
      <c r="M704" s="3" t="str" cm="1">
        <f t="array" ref="M704">_xlfn.IFS(
L704&gt;=65,"Retirement Age",
AND(L704&lt;65,L704&gt;=40),"Middle Aged",
AND(L704&lt;40,L704&gt;=30),"In the 30s",
L704&lt;30,"Below 30")</f>
        <v>Middle Aged</v>
      </c>
      <c r="N704" t="s">
        <v>15</v>
      </c>
    </row>
    <row r="705" spans="1:14" x14ac:dyDescent="0.25">
      <c r="A705">
        <v>11619</v>
      </c>
      <c r="B705" t="s">
        <v>37</v>
      </c>
      <c r="C705" t="s">
        <v>39</v>
      </c>
      <c r="D705" s="1">
        <v>50000</v>
      </c>
      <c r="E705" s="3">
        <v>0</v>
      </c>
      <c r="F705" t="s">
        <v>31</v>
      </c>
      <c r="G705" t="s">
        <v>14</v>
      </c>
      <c r="H705" t="s">
        <v>15</v>
      </c>
      <c r="I705" s="3">
        <v>0</v>
      </c>
      <c r="J705" t="s">
        <v>26</v>
      </c>
      <c r="K705" t="s">
        <v>32</v>
      </c>
      <c r="L705" s="3">
        <v>33</v>
      </c>
      <c r="M705" s="3" t="str" cm="1">
        <f t="array" ref="M705">_xlfn.IFS(
L705&gt;=65,"Retirement Age",
AND(L705&lt;65,L705&gt;=40),"Middle Aged",
AND(L705&lt;40,L705&gt;=30),"In the 30s",
L705&lt;30,"Below 30")</f>
        <v>In the 30s</v>
      </c>
      <c r="N705" t="s">
        <v>18</v>
      </c>
    </row>
    <row r="706" spans="1:14" x14ac:dyDescent="0.25">
      <c r="A706">
        <v>29132</v>
      </c>
      <c r="B706" t="s">
        <v>37</v>
      </c>
      <c r="C706" t="s">
        <v>39</v>
      </c>
      <c r="D706" s="1">
        <v>40000</v>
      </c>
      <c r="E706" s="3">
        <v>0</v>
      </c>
      <c r="F706" t="s">
        <v>13</v>
      </c>
      <c r="G706" t="s">
        <v>21</v>
      </c>
      <c r="H706" t="s">
        <v>15</v>
      </c>
      <c r="I706" s="3">
        <v>1</v>
      </c>
      <c r="J706" t="s">
        <v>22</v>
      </c>
      <c r="K706" t="s">
        <v>32</v>
      </c>
      <c r="L706" s="3">
        <v>42</v>
      </c>
      <c r="M706" s="3" t="str" cm="1">
        <f t="array" ref="M706">_xlfn.IFS(
L706&gt;=65,"Retirement Age",
AND(L706&lt;65,L706&gt;=40),"Middle Aged",
AND(L706&lt;40,L706&gt;=30),"In the 30s",
L706&lt;30,"Below 30")</f>
        <v>Middle Aged</v>
      </c>
      <c r="N706" t="s">
        <v>15</v>
      </c>
    </row>
    <row r="707" spans="1:14" x14ac:dyDescent="0.25">
      <c r="A707">
        <v>11199</v>
      </c>
      <c r="B707" t="s">
        <v>36</v>
      </c>
      <c r="C707" t="s">
        <v>39</v>
      </c>
      <c r="D707" s="1">
        <v>70000</v>
      </c>
      <c r="E707" s="3">
        <v>4</v>
      </c>
      <c r="F707" t="s">
        <v>13</v>
      </c>
      <c r="G707" t="s">
        <v>28</v>
      </c>
      <c r="H707" t="s">
        <v>15</v>
      </c>
      <c r="I707" s="3">
        <v>1</v>
      </c>
      <c r="J707" t="s">
        <v>45</v>
      </c>
      <c r="K707" t="s">
        <v>32</v>
      </c>
      <c r="L707" s="3">
        <v>59</v>
      </c>
      <c r="M707" s="3" t="str" cm="1">
        <f t="array" ref="M707">_xlfn.IFS(
L707&gt;=65,"Retirement Age",
AND(L707&lt;65,L707&gt;=40),"Middle Aged",
AND(L707&lt;40,L707&gt;=30),"In the 30s",
L707&lt;30,"Below 30")</f>
        <v>Middle Aged</v>
      </c>
      <c r="N707" t="s">
        <v>18</v>
      </c>
    </row>
    <row r="708" spans="1:14" x14ac:dyDescent="0.25">
      <c r="A708">
        <v>20296</v>
      </c>
      <c r="B708" t="s">
        <v>37</v>
      </c>
      <c r="C708" t="s">
        <v>39</v>
      </c>
      <c r="D708" s="1">
        <v>60000</v>
      </c>
      <c r="E708" s="3">
        <v>0</v>
      </c>
      <c r="F708" t="s">
        <v>19</v>
      </c>
      <c r="G708" t="s">
        <v>14</v>
      </c>
      <c r="H708" t="s">
        <v>18</v>
      </c>
      <c r="I708" s="3">
        <v>1</v>
      </c>
      <c r="J708" t="s">
        <v>26</v>
      </c>
      <c r="K708" t="s">
        <v>32</v>
      </c>
      <c r="L708" s="3">
        <v>33</v>
      </c>
      <c r="M708" s="3" t="str" cm="1">
        <f t="array" ref="M708">_xlfn.IFS(
L708&gt;=65,"Retirement Age",
AND(L708&lt;65,L708&gt;=40),"Middle Aged",
AND(L708&lt;40,L708&gt;=30),"In the 30s",
L708&lt;30,"Below 30")</f>
        <v>In the 30s</v>
      </c>
      <c r="N708" t="s">
        <v>15</v>
      </c>
    </row>
    <row r="709" spans="1:14" x14ac:dyDescent="0.25">
      <c r="A709">
        <v>17546</v>
      </c>
      <c r="B709" t="s">
        <v>36</v>
      </c>
      <c r="C709" t="s">
        <v>39</v>
      </c>
      <c r="D709" s="1">
        <v>70000</v>
      </c>
      <c r="E709" s="3">
        <v>1</v>
      </c>
      <c r="F709" t="s">
        <v>19</v>
      </c>
      <c r="G709" t="s">
        <v>14</v>
      </c>
      <c r="H709" t="s">
        <v>15</v>
      </c>
      <c r="I709" s="3">
        <v>1</v>
      </c>
      <c r="J709" t="s">
        <v>16</v>
      </c>
      <c r="K709" t="s">
        <v>32</v>
      </c>
      <c r="L709" s="3">
        <v>44</v>
      </c>
      <c r="M709" s="3" t="str" cm="1">
        <f t="array" ref="M709">_xlfn.IFS(
L709&gt;=65,"Retirement Age",
AND(L709&lt;65,L709&gt;=40),"Middle Aged",
AND(L709&lt;40,L709&gt;=30),"In the 30s",
L709&lt;30,"Below 30")</f>
        <v>Middle Aged</v>
      </c>
      <c r="N709" t="s">
        <v>15</v>
      </c>
    </row>
    <row r="710" spans="1:14" x14ac:dyDescent="0.25">
      <c r="A710">
        <v>18069</v>
      </c>
      <c r="B710" t="s">
        <v>36</v>
      </c>
      <c r="C710" t="s">
        <v>38</v>
      </c>
      <c r="D710" s="1">
        <v>70000</v>
      </c>
      <c r="E710" s="3">
        <v>5</v>
      </c>
      <c r="F710" t="s">
        <v>13</v>
      </c>
      <c r="G710" t="s">
        <v>28</v>
      </c>
      <c r="H710" t="s">
        <v>15</v>
      </c>
      <c r="I710" s="3">
        <v>4</v>
      </c>
      <c r="J710" t="s">
        <v>45</v>
      </c>
      <c r="K710" t="s">
        <v>32</v>
      </c>
      <c r="L710" s="3">
        <v>60</v>
      </c>
      <c r="M710" s="3" t="str" cm="1">
        <f t="array" ref="M710">_xlfn.IFS(
L710&gt;=65,"Retirement Age",
AND(L710&lt;65,L710&gt;=40),"Middle Aged",
AND(L710&lt;40,L710&gt;=30),"In the 30s",
L710&lt;30,"Below 30")</f>
        <v>Middle Aged</v>
      </c>
      <c r="N710" t="s">
        <v>18</v>
      </c>
    </row>
    <row r="711" spans="1:14" x14ac:dyDescent="0.25">
      <c r="A711">
        <v>23712</v>
      </c>
      <c r="B711" t="s">
        <v>37</v>
      </c>
      <c r="C711" t="s">
        <v>39</v>
      </c>
      <c r="D711" s="1">
        <v>70000</v>
      </c>
      <c r="E711" s="3">
        <v>2</v>
      </c>
      <c r="F711" t="s">
        <v>13</v>
      </c>
      <c r="G711" t="s">
        <v>28</v>
      </c>
      <c r="H711" t="s">
        <v>15</v>
      </c>
      <c r="I711" s="3">
        <v>1</v>
      </c>
      <c r="J711" t="s">
        <v>45</v>
      </c>
      <c r="K711" t="s">
        <v>32</v>
      </c>
      <c r="L711" s="3">
        <v>59</v>
      </c>
      <c r="M711" s="3" t="str" cm="1">
        <f t="array" ref="M711">_xlfn.IFS(
L711&gt;=65,"Retirement Age",
AND(L711&lt;65,L711&gt;=40),"Middle Aged",
AND(L711&lt;40,L711&gt;=30),"In the 30s",
L711&lt;30,"Below 30")</f>
        <v>Middle Aged</v>
      </c>
      <c r="N711" t="s">
        <v>18</v>
      </c>
    </row>
    <row r="712" spans="1:14" x14ac:dyDescent="0.25">
      <c r="A712">
        <v>23358</v>
      </c>
      <c r="B712" t="s">
        <v>36</v>
      </c>
      <c r="C712" t="s">
        <v>38</v>
      </c>
      <c r="D712" s="1">
        <v>60000</v>
      </c>
      <c r="E712" s="3">
        <v>0</v>
      </c>
      <c r="F712" t="s">
        <v>27</v>
      </c>
      <c r="G712" t="s">
        <v>21</v>
      </c>
      <c r="H712" t="s">
        <v>15</v>
      </c>
      <c r="I712" s="3">
        <v>2</v>
      </c>
      <c r="J712" t="s">
        <v>23</v>
      </c>
      <c r="K712" t="s">
        <v>32</v>
      </c>
      <c r="L712" s="3">
        <v>32</v>
      </c>
      <c r="M712" s="3" t="str" cm="1">
        <f t="array" ref="M712">_xlfn.IFS(
L712&gt;=65,"Retirement Age",
AND(L712&lt;65,L712&gt;=40),"Middle Aged",
AND(L712&lt;40,L712&gt;=30),"In the 30s",
L712&lt;30,"Below 30")</f>
        <v>In the 30s</v>
      </c>
      <c r="N712" t="s">
        <v>15</v>
      </c>
    </row>
    <row r="713" spans="1:14" x14ac:dyDescent="0.25">
      <c r="A713">
        <v>20518</v>
      </c>
      <c r="B713" t="s">
        <v>36</v>
      </c>
      <c r="C713" t="s">
        <v>39</v>
      </c>
      <c r="D713" s="1">
        <v>70000</v>
      </c>
      <c r="E713" s="3">
        <v>2</v>
      </c>
      <c r="F713" t="s">
        <v>19</v>
      </c>
      <c r="G713" t="s">
        <v>21</v>
      </c>
      <c r="H713" t="s">
        <v>15</v>
      </c>
      <c r="I713" s="3">
        <v>1</v>
      </c>
      <c r="J713" t="s">
        <v>45</v>
      </c>
      <c r="K713" t="s">
        <v>32</v>
      </c>
      <c r="L713" s="3">
        <v>58</v>
      </c>
      <c r="M713" s="3" t="str" cm="1">
        <f t="array" ref="M713">_xlfn.IFS(
L713&gt;=65,"Retirement Age",
AND(L713&lt;65,L713&gt;=40),"Middle Aged",
AND(L713&lt;40,L713&gt;=30),"In the 30s",
L713&lt;30,"Below 30")</f>
        <v>Middle Aged</v>
      </c>
      <c r="N713" t="s">
        <v>18</v>
      </c>
    </row>
    <row r="714" spans="1:14" x14ac:dyDescent="0.25">
      <c r="A714">
        <v>28026</v>
      </c>
      <c r="B714" t="s">
        <v>36</v>
      </c>
      <c r="C714" t="s">
        <v>39</v>
      </c>
      <c r="D714" s="1">
        <v>40000</v>
      </c>
      <c r="E714" s="3">
        <v>2</v>
      </c>
      <c r="F714" t="s">
        <v>27</v>
      </c>
      <c r="G714" t="s">
        <v>21</v>
      </c>
      <c r="H714" t="s">
        <v>18</v>
      </c>
      <c r="I714" s="3">
        <v>2</v>
      </c>
      <c r="J714" t="s">
        <v>22</v>
      </c>
      <c r="K714" t="s">
        <v>32</v>
      </c>
      <c r="L714" s="3">
        <v>59</v>
      </c>
      <c r="M714" s="3" t="str" cm="1">
        <f t="array" ref="M714">_xlfn.IFS(
L714&gt;=65,"Retirement Age",
AND(L714&lt;65,L714&gt;=40),"Middle Aged",
AND(L714&lt;40,L714&gt;=30),"In the 30s",
L714&lt;30,"Below 30")</f>
        <v>Middle Aged</v>
      </c>
      <c r="N714" t="s">
        <v>18</v>
      </c>
    </row>
    <row r="715" spans="1:14" x14ac:dyDescent="0.25">
      <c r="A715">
        <v>11669</v>
      </c>
      <c r="B715" t="s">
        <v>37</v>
      </c>
      <c r="C715" t="s">
        <v>39</v>
      </c>
      <c r="D715" s="1">
        <v>70000</v>
      </c>
      <c r="E715" s="3">
        <v>2</v>
      </c>
      <c r="F715" t="s">
        <v>13</v>
      </c>
      <c r="G715" t="s">
        <v>14</v>
      </c>
      <c r="H715" t="s">
        <v>15</v>
      </c>
      <c r="I715" s="3">
        <v>1</v>
      </c>
      <c r="J715" t="s">
        <v>22</v>
      </c>
      <c r="K715" t="s">
        <v>32</v>
      </c>
      <c r="L715" s="3">
        <v>38</v>
      </c>
      <c r="M715" s="3" t="str" cm="1">
        <f t="array" ref="M715">_xlfn.IFS(
L715&gt;=65,"Retirement Age",
AND(L715&lt;65,L715&gt;=40),"Middle Aged",
AND(L715&lt;40,L715&gt;=30),"In the 30s",
L715&lt;30,"Below 30")</f>
        <v>In the 30s</v>
      </c>
      <c r="N715" t="s">
        <v>18</v>
      </c>
    </row>
    <row r="716" spans="1:14" x14ac:dyDescent="0.25">
      <c r="A716">
        <v>16020</v>
      </c>
      <c r="B716" t="s">
        <v>36</v>
      </c>
      <c r="C716" t="s">
        <v>38</v>
      </c>
      <c r="D716" s="1">
        <v>40000</v>
      </c>
      <c r="E716" s="3">
        <v>0</v>
      </c>
      <c r="F716" t="s">
        <v>27</v>
      </c>
      <c r="G716" t="s">
        <v>14</v>
      </c>
      <c r="H716" t="s">
        <v>15</v>
      </c>
      <c r="I716" s="3">
        <v>2</v>
      </c>
      <c r="J716" t="s">
        <v>23</v>
      </c>
      <c r="K716" t="s">
        <v>32</v>
      </c>
      <c r="L716" s="3">
        <v>28</v>
      </c>
      <c r="M716" s="3" t="str" cm="1">
        <f t="array" ref="M716">_xlfn.IFS(
L716&gt;=65,"Retirement Age",
AND(L716&lt;65,L716&gt;=40),"Middle Aged",
AND(L716&lt;40,L716&gt;=30),"In the 30s",
L716&lt;30,"Below 30")</f>
        <v>Below 30</v>
      </c>
      <c r="N716" t="s">
        <v>15</v>
      </c>
    </row>
    <row r="717" spans="1:14" x14ac:dyDescent="0.25">
      <c r="A717">
        <v>27090</v>
      </c>
      <c r="B717" t="s">
        <v>36</v>
      </c>
      <c r="C717" t="s">
        <v>39</v>
      </c>
      <c r="D717" s="1">
        <v>60000</v>
      </c>
      <c r="E717" s="3">
        <v>1</v>
      </c>
      <c r="F717" t="s">
        <v>31</v>
      </c>
      <c r="G717" t="s">
        <v>21</v>
      </c>
      <c r="H717" t="s">
        <v>15</v>
      </c>
      <c r="I717" s="3">
        <v>0</v>
      </c>
      <c r="J717" t="s">
        <v>22</v>
      </c>
      <c r="K717" t="s">
        <v>32</v>
      </c>
      <c r="L717" s="3">
        <v>37</v>
      </c>
      <c r="M717" s="3" t="str" cm="1">
        <f t="array" ref="M717">_xlfn.IFS(
L717&gt;=65,"Retirement Age",
AND(L717&lt;65,L717&gt;=40),"Middle Aged",
AND(L717&lt;40,L717&gt;=30),"In the 30s",
L717&lt;30,"Below 30")</f>
        <v>In the 30s</v>
      </c>
      <c r="N717" t="s">
        <v>15</v>
      </c>
    </row>
    <row r="718" spans="1:14" x14ac:dyDescent="0.25">
      <c r="A718">
        <v>27198</v>
      </c>
      <c r="B718" t="s">
        <v>37</v>
      </c>
      <c r="C718" t="s">
        <v>39</v>
      </c>
      <c r="D718" s="1">
        <v>80000</v>
      </c>
      <c r="E718" s="3">
        <v>0</v>
      </c>
      <c r="F718" t="s">
        <v>31</v>
      </c>
      <c r="G718" t="s">
        <v>14</v>
      </c>
      <c r="H718" t="s">
        <v>18</v>
      </c>
      <c r="I718" s="3">
        <v>0</v>
      </c>
      <c r="J718" t="s">
        <v>16</v>
      </c>
      <c r="K718" t="s">
        <v>32</v>
      </c>
      <c r="L718" s="3">
        <v>40</v>
      </c>
      <c r="M718" s="3" t="str" cm="1">
        <f t="array" ref="M718">_xlfn.IFS(
L718&gt;=65,"Retirement Age",
AND(L718&lt;65,L718&gt;=40),"Middle Aged",
AND(L718&lt;40,L718&gt;=30),"In the 30s",
L718&lt;30,"Below 30")</f>
        <v>Middle Aged</v>
      </c>
      <c r="N718" t="s">
        <v>18</v>
      </c>
    </row>
    <row r="719" spans="1:14" x14ac:dyDescent="0.25">
      <c r="A719">
        <v>19661</v>
      </c>
      <c r="B719" t="s">
        <v>37</v>
      </c>
      <c r="C719" t="s">
        <v>38</v>
      </c>
      <c r="D719" s="1">
        <v>90000</v>
      </c>
      <c r="E719" s="3">
        <v>4</v>
      </c>
      <c r="F719" t="s">
        <v>13</v>
      </c>
      <c r="G719" t="s">
        <v>28</v>
      </c>
      <c r="H719" t="s">
        <v>15</v>
      </c>
      <c r="I719" s="3">
        <v>1</v>
      </c>
      <c r="J719" t="s">
        <v>26</v>
      </c>
      <c r="K719" t="s">
        <v>32</v>
      </c>
      <c r="L719" s="3">
        <v>38</v>
      </c>
      <c r="M719" s="3" t="str" cm="1">
        <f t="array" ref="M719">_xlfn.IFS(
L719&gt;=65,"Retirement Age",
AND(L719&lt;65,L719&gt;=40),"Middle Aged",
AND(L719&lt;40,L719&gt;=30),"In the 30s",
L719&lt;30,"Below 30")</f>
        <v>In the 30s</v>
      </c>
      <c r="N719" t="s">
        <v>15</v>
      </c>
    </row>
    <row r="720" spans="1:14" x14ac:dyDescent="0.25">
      <c r="A720">
        <v>26327</v>
      </c>
      <c r="B720" t="s">
        <v>36</v>
      </c>
      <c r="C720" t="s">
        <v>38</v>
      </c>
      <c r="D720" s="1">
        <v>70000</v>
      </c>
      <c r="E720" s="3">
        <v>4</v>
      </c>
      <c r="F720" t="s">
        <v>31</v>
      </c>
      <c r="G720" t="s">
        <v>21</v>
      </c>
      <c r="H720" t="s">
        <v>15</v>
      </c>
      <c r="I720" s="3">
        <v>0</v>
      </c>
      <c r="J720" t="s">
        <v>22</v>
      </c>
      <c r="K720" t="s">
        <v>32</v>
      </c>
      <c r="L720" s="3">
        <v>36</v>
      </c>
      <c r="M720" s="3" t="str" cm="1">
        <f t="array" ref="M720">_xlfn.IFS(
L720&gt;=65,"Retirement Age",
AND(L720&lt;65,L720&gt;=40),"Middle Aged",
AND(L720&lt;40,L720&gt;=30),"In the 30s",
L720&lt;30,"Below 30")</f>
        <v>In the 30s</v>
      </c>
      <c r="N720" t="s">
        <v>15</v>
      </c>
    </row>
    <row r="721" spans="1:14" x14ac:dyDescent="0.25">
      <c r="A721">
        <v>26341</v>
      </c>
      <c r="B721" t="s">
        <v>36</v>
      </c>
      <c r="C721" t="s">
        <v>39</v>
      </c>
      <c r="D721" s="1">
        <v>70000</v>
      </c>
      <c r="E721" s="3">
        <v>5</v>
      </c>
      <c r="F721" t="s">
        <v>31</v>
      </c>
      <c r="G721" t="s">
        <v>21</v>
      </c>
      <c r="H721" t="s">
        <v>15</v>
      </c>
      <c r="I721" s="3">
        <v>2</v>
      </c>
      <c r="J721" t="s">
        <v>16</v>
      </c>
      <c r="K721" t="s">
        <v>32</v>
      </c>
      <c r="L721" s="3">
        <v>37</v>
      </c>
      <c r="M721" s="3" t="str" cm="1">
        <f t="array" ref="M721">_xlfn.IFS(
L721&gt;=65,"Retirement Age",
AND(L721&lt;65,L721&gt;=40),"Middle Aged",
AND(L721&lt;40,L721&gt;=30),"In the 30s",
L721&lt;30,"Below 30")</f>
        <v>In the 30s</v>
      </c>
      <c r="N721" t="s">
        <v>18</v>
      </c>
    </row>
    <row r="722" spans="1:14" x14ac:dyDescent="0.25">
      <c r="A722">
        <v>24958</v>
      </c>
      <c r="B722" t="s">
        <v>37</v>
      </c>
      <c r="C722" t="s">
        <v>39</v>
      </c>
      <c r="D722" s="1">
        <v>40000</v>
      </c>
      <c r="E722" s="3">
        <v>5</v>
      </c>
      <c r="F722" t="s">
        <v>27</v>
      </c>
      <c r="G722" t="s">
        <v>21</v>
      </c>
      <c r="H722" t="s">
        <v>18</v>
      </c>
      <c r="I722" s="3">
        <v>3</v>
      </c>
      <c r="J722" t="s">
        <v>22</v>
      </c>
      <c r="K722" t="s">
        <v>32</v>
      </c>
      <c r="L722" s="3">
        <v>60</v>
      </c>
      <c r="M722" s="3" t="str" cm="1">
        <f t="array" ref="M722">_xlfn.IFS(
L722&gt;=65,"Retirement Age",
AND(L722&lt;65,L722&gt;=40),"Middle Aged",
AND(L722&lt;40,L722&gt;=30),"In the 30s",
L722&lt;30,"Below 30")</f>
        <v>Middle Aged</v>
      </c>
      <c r="N722" t="s">
        <v>15</v>
      </c>
    </row>
    <row r="723" spans="1:14" x14ac:dyDescent="0.25">
      <c r="A723">
        <v>13287</v>
      </c>
      <c r="B723" t="s">
        <v>37</v>
      </c>
      <c r="C723" t="s">
        <v>38</v>
      </c>
      <c r="D723" s="1">
        <v>110000</v>
      </c>
      <c r="E723" s="3">
        <v>4</v>
      </c>
      <c r="F723" t="s">
        <v>13</v>
      </c>
      <c r="G723" t="s">
        <v>28</v>
      </c>
      <c r="H723" t="s">
        <v>15</v>
      </c>
      <c r="I723" s="3">
        <v>4</v>
      </c>
      <c r="J723" t="s">
        <v>23</v>
      </c>
      <c r="K723" t="s">
        <v>32</v>
      </c>
      <c r="L723" s="3">
        <v>42</v>
      </c>
      <c r="M723" s="3" t="str" cm="1">
        <f t="array" ref="M723">_xlfn.IFS(
L723&gt;=65,"Retirement Age",
AND(L723&lt;65,L723&gt;=40),"Middle Aged",
AND(L723&lt;40,L723&gt;=30),"In the 30s",
L723&lt;30,"Below 30")</f>
        <v>Middle Aged</v>
      </c>
      <c r="N723" t="s">
        <v>15</v>
      </c>
    </row>
    <row r="724" spans="1:14" x14ac:dyDescent="0.25">
      <c r="A724">
        <v>14493</v>
      </c>
      <c r="B724" t="s">
        <v>37</v>
      </c>
      <c r="C724" t="s">
        <v>39</v>
      </c>
      <c r="D724" s="1">
        <v>70000</v>
      </c>
      <c r="E724" s="3">
        <v>3</v>
      </c>
      <c r="F724" t="s">
        <v>31</v>
      </c>
      <c r="G724" t="s">
        <v>28</v>
      </c>
      <c r="H724" t="s">
        <v>18</v>
      </c>
      <c r="I724" s="3">
        <v>2</v>
      </c>
      <c r="J724" t="s">
        <v>26</v>
      </c>
      <c r="K724" t="s">
        <v>32</v>
      </c>
      <c r="L724" s="3">
        <v>53</v>
      </c>
      <c r="M724" s="3" t="str" cm="1">
        <f t="array" ref="M724">_xlfn.IFS(
L724&gt;=65,"Retirement Age",
AND(L724&lt;65,L724&gt;=40),"Middle Aged",
AND(L724&lt;40,L724&gt;=30),"In the 30s",
L724&lt;30,"Below 30")</f>
        <v>Middle Aged</v>
      </c>
      <c r="N724" t="s">
        <v>18</v>
      </c>
    </row>
    <row r="725" spans="1:14" x14ac:dyDescent="0.25">
      <c r="A725">
        <v>26678</v>
      </c>
      <c r="B725" t="s">
        <v>37</v>
      </c>
      <c r="C725" t="s">
        <v>39</v>
      </c>
      <c r="D725" s="1">
        <v>80000</v>
      </c>
      <c r="E725" s="3">
        <v>2</v>
      </c>
      <c r="F725" t="s">
        <v>29</v>
      </c>
      <c r="G725" t="s">
        <v>14</v>
      </c>
      <c r="H725" t="s">
        <v>15</v>
      </c>
      <c r="I725" s="3">
        <v>2</v>
      </c>
      <c r="J725" t="s">
        <v>23</v>
      </c>
      <c r="K725" t="s">
        <v>32</v>
      </c>
      <c r="L725" s="3">
        <v>49</v>
      </c>
      <c r="M725" s="3" t="str" cm="1">
        <f t="array" ref="M725">_xlfn.IFS(
L725&gt;=65,"Retirement Age",
AND(L725&lt;65,L725&gt;=40),"Middle Aged",
AND(L725&lt;40,L725&gt;=30),"In the 30s",
L725&lt;30,"Below 30")</f>
        <v>Middle Aged</v>
      </c>
      <c r="N725" t="s">
        <v>18</v>
      </c>
    </row>
    <row r="726" spans="1:14" x14ac:dyDescent="0.25">
      <c r="A726">
        <v>23275</v>
      </c>
      <c r="B726" t="s">
        <v>36</v>
      </c>
      <c r="C726" t="s">
        <v>38</v>
      </c>
      <c r="D726" s="1">
        <v>30000</v>
      </c>
      <c r="E726" s="3">
        <v>2</v>
      </c>
      <c r="F726" t="s">
        <v>27</v>
      </c>
      <c r="G726" t="s">
        <v>14</v>
      </c>
      <c r="H726" t="s">
        <v>15</v>
      </c>
      <c r="I726" s="3">
        <v>2</v>
      </c>
      <c r="J726" t="s">
        <v>26</v>
      </c>
      <c r="K726" t="s">
        <v>32</v>
      </c>
      <c r="L726" s="3">
        <v>49</v>
      </c>
      <c r="M726" s="3" t="str" cm="1">
        <f t="array" ref="M726">_xlfn.IFS(
L726&gt;=65,"Retirement Age",
AND(L726&lt;65,L726&gt;=40),"Middle Aged",
AND(L726&lt;40,L726&gt;=30),"In the 30s",
L726&lt;30,"Below 30")</f>
        <v>Middle Aged</v>
      </c>
      <c r="N726" t="s">
        <v>18</v>
      </c>
    </row>
    <row r="727" spans="1:14" x14ac:dyDescent="0.25">
      <c r="A727">
        <v>11270</v>
      </c>
      <c r="B727" t="s">
        <v>36</v>
      </c>
      <c r="C727" t="s">
        <v>38</v>
      </c>
      <c r="D727" s="1">
        <v>130000</v>
      </c>
      <c r="E727" s="3">
        <v>2</v>
      </c>
      <c r="F727" t="s">
        <v>31</v>
      </c>
      <c r="G727" t="s">
        <v>28</v>
      </c>
      <c r="H727" t="s">
        <v>15</v>
      </c>
      <c r="I727" s="3">
        <v>3</v>
      </c>
      <c r="J727" t="s">
        <v>16</v>
      </c>
      <c r="K727" t="s">
        <v>32</v>
      </c>
      <c r="L727" s="3">
        <v>42</v>
      </c>
      <c r="M727" s="3" t="str" cm="1">
        <f t="array" ref="M727">_xlfn.IFS(
L727&gt;=65,"Retirement Age",
AND(L727&lt;65,L727&gt;=40),"Middle Aged",
AND(L727&lt;40,L727&gt;=30),"In the 30s",
L727&lt;30,"Below 30")</f>
        <v>Middle Aged</v>
      </c>
      <c r="N727" t="s">
        <v>15</v>
      </c>
    </row>
    <row r="728" spans="1:14" x14ac:dyDescent="0.25">
      <c r="A728">
        <v>20084</v>
      </c>
      <c r="B728" t="s">
        <v>36</v>
      </c>
      <c r="C728" t="s">
        <v>38</v>
      </c>
      <c r="D728" s="1">
        <v>20000</v>
      </c>
      <c r="E728" s="3">
        <v>2</v>
      </c>
      <c r="F728" t="s">
        <v>27</v>
      </c>
      <c r="G728" t="s">
        <v>25</v>
      </c>
      <c r="H728" t="s">
        <v>18</v>
      </c>
      <c r="I728" s="3">
        <v>2</v>
      </c>
      <c r="J728" t="s">
        <v>16</v>
      </c>
      <c r="K728" t="s">
        <v>32</v>
      </c>
      <c r="L728" s="3">
        <v>53</v>
      </c>
      <c r="M728" s="3" t="str" cm="1">
        <f t="array" ref="M728">_xlfn.IFS(
L728&gt;=65,"Retirement Age",
AND(L728&lt;65,L728&gt;=40),"Middle Aged",
AND(L728&lt;40,L728&gt;=30),"In the 30s",
L728&lt;30,"Below 30")</f>
        <v>Middle Aged</v>
      </c>
      <c r="N728" t="s">
        <v>18</v>
      </c>
    </row>
    <row r="729" spans="1:14" x14ac:dyDescent="0.25">
      <c r="A729">
        <v>16144</v>
      </c>
      <c r="B729" t="s">
        <v>36</v>
      </c>
      <c r="C729" t="s">
        <v>38</v>
      </c>
      <c r="D729" s="1">
        <v>70000</v>
      </c>
      <c r="E729" s="3">
        <v>1</v>
      </c>
      <c r="F729" t="s">
        <v>31</v>
      </c>
      <c r="G729" t="s">
        <v>21</v>
      </c>
      <c r="H729" t="s">
        <v>15</v>
      </c>
      <c r="I729" s="3">
        <v>1</v>
      </c>
      <c r="J729" t="s">
        <v>16</v>
      </c>
      <c r="K729" t="s">
        <v>32</v>
      </c>
      <c r="L729" s="3">
        <v>46</v>
      </c>
      <c r="M729" s="3" t="str" cm="1">
        <f t="array" ref="M729">_xlfn.IFS(
L729&gt;=65,"Retirement Age",
AND(L729&lt;65,L729&gt;=40),"Middle Aged",
AND(L729&lt;40,L729&gt;=30),"In the 30s",
L729&lt;30,"Below 30")</f>
        <v>Middle Aged</v>
      </c>
      <c r="N729" t="s">
        <v>15</v>
      </c>
    </row>
    <row r="730" spans="1:14" x14ac:dyDescent="0.25">
      <c r="A730">
        <v>27731</v>
      </c>
      <c r="B730" t="s">
        <v>36</v>
      </c>
      <c r="C730" t="s">
        <v>38</v>
      </c>
      <c r="D730" s="1">
        <v>40000</v>
      </c>
      <c r="E730" s="3">
        <v>0</v>
      </c>
      <c r="F730" t="s">
        <v>27</v>
      </c>
      <c r="G730" t="s">
        <v>14</v>
      </c>
      <c r="H730" t="s">
        <v>15</v>
      </c>
      <c r="I730" s="3">
        <v>2</v>
      </c>
      <c r="J730" t="s">
        <v>23</v>
      </c>
      <c r="K730" t="s">
        <v>32</v>
      </c>
      <c r="L730" s="3">
        <v>27</v>
      </c>
      <c r="M730" s="3" t="str" cm="1">
        <f t="array" ref="M730">_xlfn.IFS(
L730&gt;=65,"Retirement Age",
AND(L730&lt;65,L730&gt;=40),"Middle Aged",
AND(L730&lt;40,L730&gt;=30),"In the 30s",
L730&lt;30,"Below 30")</f>
        <v>Below 30</v>
      </c>
      <c r="N730" t="s">
        <v>18</v>
      </c>
    </row>
    <row r="731" spans="1:14" x14ac:dyDescent="0.25">
      <c r="A731">
        <v>11886</v>
      </c>
      <c r="B731" t="s">
        <v>36</v>
      </c>
      <c r="C731" t="s">
        <v>39</v>
      </c>
      <c r="D731" s="1">
        <v>60000</v>
      </c>
      <c r="E731" s="3">
        <v>3</v>
      </c>
      <c r="F731" t="s">
        <v>13</v>
      </c>
      <c r="G731" t="s">
        <v>21</v>
      </c>
      <c r="H731" t="s">
        <v>15</v>
      </c>
      <c r="I731" s="3">
        <v>1</v>
      </c>
      <c r="J731" t="s">
        <v>16</v>
      </c>
      <c r="K731" t="s">
        <v>32</v>
      </c>
      <c r="L731" s="3">
        <v>48</v>
      </c>
      <c r="M731" s="3" t="str" cm="1">
        <f t="array" ref="M731">_xlfn.IFS(
L731&gt;=65,"Retirement Age",
AND(L731&lt;65,L731&gt;=40),"Middle Aged",
AND(L731&lt;40,L731&gt;=30),"In the 30s",
L731&lt;30,"Below 30")</f>
        <v>Middle Aged</v>
      </c>
      <c r="N731" t="s">
        <v>15</v>
      </c>
    </row>
    <row r="732" spans="1:14" x14ac:dyDescent="0.25">
      <c r="A732">
        <v>24324</v>
      </c>
      <c r="B732" t="s">
        <v>37</v>
      </c>
      <c r="C732" t="s">
        <v>39</v>
      </c>
      <c r="D732" s="1">
        <v>60000</v>
      </c>
      <c r="E732" s="3">
        <v>4</v>
      </c>
      <c r="F732" t="s">
        <v>13</v>
      </c>
      <c r="G732" t="s">
        <v>14</v>
      </c>
      <c r="H732" t="s">
        <v>15</v>
      </c>
      <c r="I732" s="3">
        <v>2</v>
      </c>
      <c r="J732" t="s">
        <v>22</v>
      </c>
      <c r="K732" t="s">
        <v>32</v>
      </c>
      <c r="L732" s="3">
        <v>41</v>
      </c>
      <c r="M732" s="3" t="str" cm="1">
        <f t="array" ref="M732">_xlfn.IFS(
L732&gt;=65,"Retirement Age",
AND(L732&lt;65,L732&gt;=40),"Middle Aged",
AND(L732&lt;40,L732&gt;=30),"In the 30s",
L732&lt;30,"Below 30")</f>
        <v>Middle Aged</v>
      </c>
      <c r="N732" t="s">
        <v>15</v>
      </c>
    </row>
    <row r="733" spans="1:14" x14ac:dyDescent="0.25">
      <c r="A733">
        <v>22220</v>
      </c>
      <c r="B733" t="s">
        <v>36</v>
      </c>
      <c r="C733" t="s">
        <v>38</v>
      </c>
      <c r="D733" s="1">
        <v>60000</v>
      </c>
      <c r="E733" s="3">
        <v>2</v>
      </c>
      <c r="F733" t="s">
        <v>27</v>
      </c>
      <c r="G733" t="s">
        <v>21</v>
      </c>
      <c r="H733" t="s">
        <v>18</v>
      </c>
      <c r="I733" s="3">
        <v>2</v>
      </c>
      <c r="J733" t="s">
        <v>26</v>
      </c>
      <c r="K733" t="s">
        <v>32</v>
      </c>
      <c r="L733" s="3">
        <v>49</v>
      </c>
      <c r="M733" s="3" t="str" cm="1">
        <f t="array" ref="M733">_xlfn.IFS(
L733&gt;=65,"Retirement Age",
AND(L733&lt;65,L733&gt;=40),"Middle Aged",
AND(L733&lt;40,L733&gt;=30),"In the 30s",
L733&lt;30,"Below 30")</f>
        <v>Middle Aged</v>
      </c>
      <c r="N733" t="s">
        <v>15</v>
      </c>
    </row>
    <row r="734" spans="1:14" x14ac:dyDescent="0.25">
      <c r="A734">
        <v>26625</v>
      </c>
      <c r="B734" t="s">
        <v>37</v>
      </c>
      <c r="C734" t="s">
        <v>39</v>
      </c>
      <c r="D734" s="1">
        <v>60000</v>
      </c>
      <c r="E734" s="3">
        <v>0</v>
      </c>
      <c r="F734" t="s">
        <v>31</v>
      </c>
      <c r="G734" t="s">
        <v>21</v>
      </c>
      <c r="H734" t="s">
        <v>15</v>
      </c>
      <c r="I734" s="3">
        <v>1</v>
      </c>
      <c r="J734" t="s">
        <v>22</v>
      </c>
      <c r="K734" t="s">
        <v>32</v>
      </c>
      <c r="L734" s="3">
        <v>38</v>
      </c>
      <c r="M734" s="3" t="str" cm="1">
        <f t="array" ref="M734">_xlfn.IFS(
L734&gt;=65,"Retirement Age",
AND(L734&lt;65,L734&gt;=40),"Middle Aged",
AND(L734&lt;40,L734&gt;=30),"In the 30s",
L734&lt;30,"Below 30")</f>
        <v>In the 30s</v>
      </c>
      <c r="N734" t="s">
        <v>15</v>
      </c>
    </row>
    <row r="735" spans="1:14" x14ac:dyDescent="0.25">
      <c r="A735">
        <v>23027</v>
      </c>
      <c r="B735" t="s">
        <v>37</v>
      </c>
      <c r="C735" t="s">
        <v>38</v>
      </c>
      <c r="D735" s="1">
        <v>130000</v>
      </c>
      <c r="E735" s="3">
        <v>1</v>
      </c>
      <c r="F735" t="s">
        <v>13</v>
      </c>
      <c r="G735" t="s">
        <v>28</v>
      </c>
      <c r="H735" t="s">
        <v>18</v>
      </c>
      <c r="I735" s="3">
        <v>4</v>
      </c>
      <c r="J735" t="s">
        <v>16</v>
      </c>
      <c r="K735" t="s">
        <v>32</v>
      </c>
      <c r="L735" s="3">
        <v>44</v>
      </c>
      <c r="M735" s="3" t="str" cm="1">
        <f t="array" ref="M735">_xlfn.IFS(
L735&gt;=65,"Retirement Age",
AND(L735&lt;65,L735&gt;=40),"Middle Aged",
AND(L735&lt;40,L735&gt;=30),"In the 30s",
L735&lt;30,"Below 30")</f>
        <v>Middle Aged</v>
      </c>
      <c r="N735" t="s">
        <v>18</v>
      </c>
    </row>
    <row r="736" spans="1:14" x14ac:dyDescent="0.25">
      <c r="A736">
        <v>16867</v>
      </c>
      <c r="B736" t="s">
        <v>37</v>
      </c>
      <c r="C736" t="s">
        <v>39</v>
      </c>
      <c r="D736" s="1">
        <v>130000</v>
      </c>
      <c r="E736" s="3">
        <v>1</v>
      </c>
      <c r="F736" t="s">
        <v>13</v>
      </c>
      <c r="G736" t="s">
        <v>28</v>
      </c>
      <c r="H736" t="s">
        <v>18</v>
      </c>
      <c r="I736" s="3">
        <v>3</v>
      </c>
      <c r="J736" t="s">
        <v>16</v>
      </c>
      <c r="K736" t="s">
        <v>32</v>
      </c>
      <c r="L736" s="3">
        <v>45</v>
      </c>
      <c r="M736" s="3" t="str" cm="1">
        <f t="array" ref="M736">_xlfn.IFS(
L736&gt;=65,"Retirement Age",
AND(L736&lt;65,L736&gt;=40),"Middle Aged",
AND(L736&lt;40,L736&gt;=30),"In the 30s",
L736&lt;30,"Below 30")</f>
        <v>Middle Aged</v>
      </c>
      <c r="N736" t="s">
        <v>15</v>
      </c>
    </row>
    <row r="737" spans="1:14" x14ac:dyDescent="0.25">
      <c r="A737">
        <v>14514</v>
      </c>
      <c r="B737" t="s">
        <v>37</v>
      </c>
      <c r="C737" t="s">
        <v>39</v>
      </c>
      <c r="D737" s="1">
        <v>30000</v>
      </c>
      <c r="E737" s="3">
        <v>0</v>
      </c>
      <c r="F737" t="s">
        <v>19</v>
      </c>
      <c r="G737" t="s">
        <v>14</v>
      </c>
      <c r="H737" t="s">
        <v>15</v>
      </c>
      <c r="I737" s="3">
        <v>1</v>
      </c>
      <c r="J737" t="s">
        <v>23</v>
      </c>
      <c r="K737" t="s">
        <v>32</v>
      </c>
      <c r="L737" s="3">
        <v>26</v>
      </c>
      <c r="M737" s="3" t="str" cm="1">
        <f t="array" ref="M737">_xlfn.IFS(
L737&gt;=65,"Retirement Age",
AND(L737&lt;65,L737&gt;=40),"Middle Aged",
AND(L737&lt;40,L737&gt;=30),"In the 30s",
L737&lt;30,"Below 30")</f>
        <v>Below 30</v>
      </c>
      <c r="N737" t="s">
        <v>18</v>
      </c>
    </row>
    <row r="738" spans="1:14" x14ac:dyDescent="0.25">
      <c r="A738">
        <v>19634</v>
      </c>
      <c r="B738" t="s">
        <v>36</v>
      </c>
      <c r="C738" t="s">
        <v>38</v>
      </c>
      <c r="D738" s="1">
        <v>40000</v>
      </c>
      <c r="E738" s="3">
        <v>0</v>
      </c>
      <c r="F738" t="s">
        <v>27</v>
      </c>
      <c r="G738" t="s">
        <v>14</v>
      </c>
      <c r="H738" t="s">
        <v>15</v>
      </c>
      <c r="I738" s="3">
        <v>1</v>
      </c>
      <c r="J738" t="s">
        <v>23</v>
      </c>
      <c r="K738" t="s">
        <v>32</v>
      </c>
      <c r="L738" s="3">
        <v>31</v>
      </c>
      <c r="M738" s="3" t="str" cm="1">
        <f t="array" ref="M738">_xlfn.IFS(
L738&gt;=65,"Retirement Age",
AND(L738&lt;65,L738&gt;=40),"Middle Aged",
AND(L738&lt;40,L738&gt;=30),"In the 30s",
L738&lt;30,"Below 30")</f>
        <v>In the 30s</v>
      </c>
      <c r="N738" t="s">
        <v>18</v>
      </c>
    </row>
    <row r="739" spans="1:14" x14ac:dyDescent="0.25">
      <c r="A739">
        <v>18504</v>
      </c>
      <c r="B739" t="s">
        <v>36</v>
      </c>
      <c r="C739" t="s">
        <v>38</v>
      </c>
      <c r="D739" s="1">
        <v>70000</v>
      </c>
      <c r="E739" s="3">
        <v>2</v>
      </c>
      <c r="F739" t="s">
        <v>29</v>
      </c>
      <c r="G739" t="s">
        <v>14</v>
      </c>
      <c r="H739" t="s">
        <v>18</v>
      </c>
      <c r="I739" s="3">
        <v>2</v>
      </c>
      <c r="J739" t="s">
        <v>26</v>
      </c>
      <c r="K739" t="s">
        <v>32</v>
      </c>
      <c r="L739" s="3">
        <v>49</v>
      </c>
      <c r="M739" s="3" t="str" cm="1">
        <f t="array" ref="M739">_xlfn.IFS(
L739&gt;=65,"Retirement Age",
AND(L739&lt;65,L739&gt;=40),"Middle Aged",
AND(L739&lt;40,L739&gt;=30),"In the 30s",
L739&lt;30,"Below 30")</f>
        <v>Middle Aged</v>
      </c>
      <c r="N739" t="s">
        <v>18</v>
      </c>
    </row>
    <row r="740" spans="1:14" x14ac:dyDescent="0.25">
      <c r="A740">
        <v>28799</v>
      </c>
      <c r="B740" t="s">
        <v>37</v>
      </c>
      <c r="C740" t="s">
        <v>39</v>
      </c>
      <c r="D740" s="1">
        <v>40000</v>
      </c>
      <c r="E740" s="3">
        <v>2</v>
      </c>
      <c r="F740" t="s">
        <v>19</v>
      </c>
      <c r="G740" t="s">
        <v>20</v>
      </c>
      <c r="H740" t="s">
        <v>18</v>
      </c>
      <c r="I740" s="3">
        <v>1</v>
      </c>
      <c r="J740" t="s">
        <v>26</v>
      </c>
      <c r="K740" t="s">
        <v>32</v>
      </c>
      <c r="L740" s="3">
        <v>47</v>
      </c>
      <c r="M740" s="3" t="str" cm="1">
        <f t="array" ref="M740">_xlfn.IFS(
L740&gt;=65,"Retirement Age",
AND(L740&lt;65,L740&gt;=40),"Middle Aged",
AND(L740&lt;40,L740&gt;=30),"In the 30s",
L740&lt;30,"Below 30")</f>
        <v>Middle Aged</v>
      </c>
      <c r="N740" t="s">
        <v>15</v>
      </c>
    </row>
    <row r="741" spans="1:14" x14ac:dyDescent="0.25">
      <c r="A741">
        <v>11225</v>
      </c>
      <c r="B741" t="s">
        <v>36</v>
      </c>
      <c r="C741" t="s">
        <v>39</v>
      </c>
      <c r="D741" s="1">
        <v>60000</v>
      </c>
      <c r="E741" s="3">
        <v>2</v>
      </c>
      <c r="F741" t="s">
        <v>19</v>
      </c>
      <c r="G741" t="s">
        <v>21</v>
      </c>
      <c r="H741" t="s">
        <v>15</v>
      </c>
      <c r="I741" s="3">
        <v>1</v>
      </c>
      <c r="J741" t="s">
        <v>45</v>
      </c>
      <c r="K741" t="s">
        <v>32</v>
      </c>
      <c r="L741" s="3">
        <v>55</v>
      </c>
      <c r="M741" s="3" t="str" cm="1">
        <f t="array" ref="M741">_xlfn.IFS(
L741&gt;=65,"Retirement Age",
AND(L741&lt;65,L741&gt;=40),"Middle Aged",
AND(L741&lt;40,L741&gt;=30),"In the 30s",
L741&lt;30,"Below 30")</f>
        <v>Middle Aged</v>
      </c>
      <c r="N741" t="s">
        <v>18</v>
      </c>
    </row>
    <row r="742" spans="1:14" x14ac:dyDescent="0.25">
      <c r="A742">
        <v>17657</v>
      </c>
      <c r="B742" t="s">
        <v>36</v>
      </c>
      <c r="C742" t="s">
        <v>38</v>
      </c>
      <c r="D742" s="1">
        <v>40000</v>
      </c>
      <c r="E742" s="3">
        <v>4</v>
      </c>
      <c r="F742" t="s">
        <v>19</v>
      </c>
      <c r="G742" t="s">
        <v>20</v>
      </c>
      <c r="H742" t="s">
        <v>18</v>
      </c>
      <c r="I742" s="3">
        <v>0</v>
      </c>
      <c r="J742" t="s">
        <v>16</v>
      </c>
      <c r="K742" t="s">
        <v>32</v>
      </c>
      <c r="L742" s="3">
        <v>30</v>
      </c>
      <c r="M742" s="3" t="str" cm="1">
        <f t="array" ref="M742">_xlfn.IFS(
L742&gt;=65,"Retirement Age",
AND(L742&lt;65,L742&gt;=40),"Middle Aged",
AND(L742&lt;40,L742&gt;=30),"In the 30s",
L742&lt;30,"Below 30")</f>
        <v>In the 30s</v>
      </c>
      <c r="N742" t="s">
        <v>18</v>
      </c>
    </row>
    <row r="743" spans="1:14" x14ac:dyDescent="0.25">
      <c r="A743">
        <v>14913</v>
      </c>
      <c r="B743" t="s">
        <v>36</v>
      </c>
      <c r="C743" t="s">
        <v>39</v>
      </c>
      <c r="D743" s="1">
        <v>40000</v>
      </c>
      <c r="E743" s="3">
        <v>1</v>
      </c>
      <c r="F743" t="s">
        <v>19</v>
      </c>
      <c r="G743" t="s">
        <v>20</v>
      </c>
      <c r="H743" t="s">
        <v>15</v>
      </c>
      <c r="I743" s="3">
        <v>1</v>
      </c>
      <c r="J743" t="s">
        <v>26</v>
      </c>
      <c r="K743" t="s">
        <v>32</v>
      </c>
      <c r="L743" s="3">
        <v>48</v>
      </c>
      <c r="M743" s="3" t="str" cm="1">
        <f t="array" ref="M743">_xlfn.IFS(
L743&gt;=65,"Retirement Age",
AND(L743&lt;65,L743&gt;=40),"Middle Aged",
AND(L743&lt;40,L743&gt;=30),"In the 30s",
L743&lt;30,"Below 30")</f>
        <v>Middle Aged</v>
      </c>
      <c r="N743" t="s">
        <v>15</v>
      </c>
    </row>
    <row r="744" spans="1:14" x14ac:dyDescent="0.25">
      <c r="A744">
        <v>14077</v>
      </c>
      <c r="B744" t="s">
        <v>37</v>
      </c>
      <c r="C744" t="s">
        <v>38</v>
      </c>
      <c r="D744" s="1">
        <v>30000</v>
      </c>
      <c r="E744" s="3">
        <v>0</v>
      </c>
      <c r="F744" t="s">
        <v>27</v>
      </c>
      <c r="G744" t="s">
        <v>14</v>
      </c>
      <c r="H744" t="s">
        <v>15</v>
      </c>
      <c r="I744" s="3">
        <v>2</v>
      </c>
      <c r="J744" t="s">
        <v>23</v>
      </c>
      <c r="K744" t="s">
        <v>32</v>
      </c>
      <c r="L744" s="3">
        <v>30</v>
      </c>
      <c r="M744" s="3" t="str" cm="1">
        <f t="array" ref="M744">_xlfn.IFS(
L744&gt;=65,"Retirement Age",
AND(L744&lt;65,L744&gt;=40),"Middle Aged",
AND(L744&lt;40,L744&gt;=30),"In the 30s",
L744&lt;30,"Below 30")</f>
        <v>In the 30s</v>
      </c>
      <c r="N744" t="s">
        <v>18</v>
      </c>
    </row>
    <row r="745" spans="1:14" x14ac:dyDescent="0.25">
      <c r="A745">
        <v>13296</v>
      </c>
      <c r="B745" t="s">
        <v>36</v>
      </c>
      <c r="C745" t="s">
        <v>38</v>
      </c>
      <c r="D745" s="1">
        <v>110000</v>
      </c>
      <c r="E745" s="3">
        <v>1</v>
      </c>
      <c r="F745" t="s">
        <v>13</v>
      </c>
      <c r="G745" t="s">
        <v>28</v>
      </c>
      <c r="H745" t="s">
        <v>15</v>
      </c>
      <c r="I745" s="3">
        <v>3</v>
      </c>
      <c r="J745" t="s">
        <v>23</v>
      </c>
      <c r="K745" t="s">
        <v>32</v>
      </c>
      <c r="L745" s="3">
        <v>45</v>
      </c>
      <c r="M745" s="3" t="str" cm="1">
        <f t="array" ref="M745">_xlfn.IFS(
L745&gt;=65,"Retirement Age",
AND(L745&lt;65,L745&gt;=40),"Middle Aged",
AND(L745&lt;40,L745&gt;=30),"In the 30s",
L745&lt;30,"Below 30")</f>
        <v>Middle Aged</v>
      </c>
      <c r="N745" t="s">
        <v>18</v>
      </c>
    </row>
    <row r="746" spans="1:14" x14ac:dyDescent="0.25">
      <c r="A746">
        <v>20535</v>
      </c>
      <c r="B746" t="s">
        <v>36</v>
      </c>
      <c r="C746" t="s">
        <v>39</v>
      </c>
      <c r="D746" s="1">
        <v>70000</v>
      </c>
      <c r="E746" s="3">
        <v>4</v>
      </c>
      <c r="F746" t="s">
        <v>19</v>
      </c>
      <c r="G746" t="s">
        <v>21</v>
      </c>
      <c r="H746" t="s">
        <v>15</v>
      </c>
      <c r="I746" s="3">
        <v>1</v>
      </c>
      <c r="J746" t="s">
        <v>45</v>
      </c>
      <c r="K746" t="s">
        <v>32</v>
      </c>
      <c r="L746" s="3">
        <v>56</v>
      </c>
      <c r="M746" s="3" t="str" cm="1">
        <f t="array" ref="M746">_xlfn.IFS(
L746&gt;=65,"Retirement Age",
AND(L746&lt;65,L746&gt;=40),"Middle Aged",
AND(L746&lt;40,L746&gt;=30),"In the 30s",
L746&lt;30,"Below 30")</f>
        <v>Middle Aged</v>
      </c>
      <c r="N746" t="s">
        <v>18</v>
      </c>
    </row>
    <row r="747" spans="1:14" x14ac:dyDescent="0.25">
      <c r="A747">
        <v>12452</v>
      </c>
      <c r="B747" t="s">
        <v>36</v>
      </c>
      <c r="C747" t="s">
        <v>38</v>
      </c>
      <c r="D747" s="1">
        <v>60000</v>
      </c>
      <c r="E747" s="3">
        <v>4</v>
      </c>
      <c r="F747" t="s">
        <v>31</v>
      </c>
      <c r="G747" t="s">
        <v>14</v>
      </c>
      <c r="H747" t="s">
        <v>15</v>
      </c>
      <c r="I747" s="3">
        <v>0</v>
      </c>
      <c r="J747" t="s">
        <v>26</v>
      </c>
      <c r="K747" t="s">
        <v>32</v>
      </c>
      <c r="L747" s="3">
        <v>47</v>
      </c>
      <c r="M747" s="3" t="str" cm="1">
        <f t="array" ref="M747">_xlfn.IFS(
L747&gt;=65,"Retirement Age",
AND(L747&lt;65,L747&gt;=40),"Middle Aged",
AND(L747&lt;40,L747&gt;=30),"In the 30s",
L747&lt;30,"Below 30")</f>
        <v>Middle Aged</v>
      </c>
      <c r="N747" t="s">
        <v>15</v>
      </c>
    </row>
    <row r="748" spans="1:14" x14ac:dyDescent="0.25">
      <c r="A748">
        <v>28043</v>
      </c>
      <c r="B748" t="s">
        <v>36</v>
      </c>
      <c r="C748" t="s">
        <v>39</v>
      </c>
      <c r="D748" s="1">
        <v>60000</v>
      </c>
      <c r="E748" s="3">
        <v>2</v>
      </c>
      <c r="F748" t="s">
        <v>13</v>
      </c>
      <c r="G748" t="s">
        <v>28</v>
      </c>
      <c r="H748" t="s">
        <v>15</v>
      </c>
      <c r="I748" s="3">
        <v>0</v>
      </c>
      <c r="J748" t="s">
        <v>45</v>
      </c>
      <c r="K748" t="s">
        <v>32</v>
      </c>
      <c r="L748" s="3">
        <v>56</v>
      </c>
      <c r="M748" s="3" t="str" cm="1">
        <f t="array" ref="M748">_xlfn.IFS(
L748&gt;=65,"Retirement Age",
AND(L748&lt;65,L748&gt;=40),"Middle Aged",
AND(L748&lt;40,L748&gt;=30),"In the 30s",
L748&lt;30,"Below 30")</f>
        <v>Middle Aged</v>
      </c>
      <c r="N748" t="s">
        <v>18</v>
      </c>
    </row>
    <row r="749" spans="1:14" x14ac:dyDescent="0.25">
      <c r="A749">
        <v>12957</v>
      </c>
      <c r="B749" t="s">
        <v>37</v>
      </c>
      <c r="C749" t="s">
        <v>39</v>
      </c>
      <c r="D749" s="1">
        <v>70000</v>
      </c>
      <c r="E749" s="3">
        <v>1</v>
      </c>
      <c r="F749" t="s">
        <v>13</v>
      </c>
      <c r="G749" t="s">
        <v>21</v>
      </c>
      <c r="H749" t="s">
        <v>18</v>
      </c>
      <c r="I749" s="3">
        <v>1</v>
      </c>
      <c r="J749" t="s">
        <v>16</v>
      </c>
      <c r="K749" t="s">
        <v>32</v>
      </c>
      <c r="L749" s="3">
        <v>44</v>
      </c>
      <c r="M749" s="3" t="str" cm="1">
        <f t="array" ref="M749">_xlfn.IFS(
L749&gt;=65,"Retirement Age",
AND(L749&lt;65,L749&gt;=40),"Middle Aged",
AND(L749&lt;40,L749&gt;=30),"In the 30s",
L749&lt;30,"Below 30")</f>
        <v>Middle Aged</v>
      </c>
      <c r="N749" t="s">
        <v>18</v>
      </c>
    </row>
    <row r="750" spans="1:14" x14ac:dyDescent="0.25">
      <c r="A750">
        <v>15412</v>
      </c>
      <c r="B750" t="s">
        <v>36</v>
      </c>
      <c r="C750" t="s">
        <v>38</v>
      </c>
      <c r="D750" s="1">
        <v>130000</v>
      </c>
      <c r="E750" s="3">
        <v>2</v>
      </c>
      <c r="F750" t="s">
        <v>31</v>
      </c>
      <c r="G750" t="s">
        <v>28</v>
      </c>
      <c r="H750" t="s">
        <v>15</v>
      </c>
      <c r="I750" s="3">
        <v>3</v>
      </c>
      <c r="J750" t="s">
        <v>22</v>
      </c>
      <c r="K750" t="s">
        <v>32</v>
      </c>
      <c r="L750" s="3">
        <v>69</v>
      </c>
      <c r="M750" s="3" t="str" cm="1">
        <f t="array" ref="M750">_xlfn.IFS(
L750&gt;=65,"Retirement Age",
AND(L750&lt;65,L750&gt;=40),"Middle Aged",
AND(L750&lt;40,L750&gt;=30),"In the 30s",
L750&lt;30,"Below 30")</f>
        <v>Retirement Age</v>
      </c>
      <c r="N750" t="s">
        <v>18</v>
      </c>
    </row>
    <row r="751" spans="1:14" x14ac:dyDescent="0.25">
      <c r="A751">
        <v>20514</v>
      </c>
      <c r="B751" t="s">
        <v>36</v>
      </c>
      <c r="C751" t="s">
        <v>39</v>
      </c>
      <c r="D751" s="1">
        <v>70000</v>
      </c>
      <c r="E751" s="3">
        <v>2</v>
      </c>
      <c r="F751" t="s">
        <v>19</v>
      </c>
      <c r="G751" t="s">
        <v>21</v>
      </c>
      <c r="H751" t="s">
        <v>15</v>
      </c>
      <c r="I751" s="3">
        <v>1</v>
      </c>
      <c r="J751" t="s">
        <v>22</v>
      </c>
      <c r="K751" t="s">
        <v>32</v>
      </c>
      <c r="L751" s="3">
        <v>59</v>
      </c>
      <c r="M751" s="3" t="str" cm="1">
        <f t="array" ref="M751">_xlfn.IFS(
L751&gt;=65,"Retirement Age",
AND(L751&lt;65,L751&gt;=40),"Middle Aged",
AND(L751&lt;40,L751&gt;=30),"In the 30s",
L751&lt;30,"Below 30")</f>
        <v>Middle Aged</v>
      </c>
      <c r="N751" t="s">
        <v>18</v>
      </c>
    </row>
    <row r="752" spans="1:14" x14ac:dyDescent="0.25">
      <c r="A752">
        <v>20758</v>
      </c>
      <c r="B752" t="s">
        <v>36</v>
      </c>
      <c r="C752" t="s">
        <v>38</v>
      </c>
      <c r="D752" s="1">
        <v>30000</v>
      </c>
      <c r="E752" s="3">
        <v>2</v>
      </c>
      <c r="F752" t="s">
        <v>27</v>
      </c>
      <c r="G752" t="s">
        <v>14</v>
      </c>
      <c r="H752" t="s">
        <v>15</v>
      </c>
      <c r="I752" s="3">
        <v>2</v>
      </c>
      <c r="J752" t="s">
        <v>26</v>
      </c>
      <c r="K752" t="s">
        <v>32</v>
      </c>
      <c r="L752" s="3">
        <v>50</v>
      </c>
      <c r="M752" s="3" t="str" cm="1">
        <f t="array" ref="M752">_xlfn.IFS(
L752&gt;=65,"Retirement Age",
AND(L752&lt;65,L752&gt;=40),"Middle Aged",
AND(L752&lt;40,L752&gt;=30),"In the 30s",
L752&lt;30,"Below 30")</f>
        <v>Middle Aged</v>
      </c>
      <c r="N752" t="s">
        <v>18</v>
      </c>
    </row>
    <row r="753" spans="1:14" x14ac:dyDescent="0.25">
      <c r="A753">
        <v>11801</v>
      </c>
      <c r="B753" t="s">
        <v>36</v>
      </c>
      <c r="C753" t="s">
        <v>38</v>
      </c>
      <c r="D753" s="1">
        <v>60000</v>
      </c>
      <c r="E753" s="3">
        <v>1</v>
      </c>
      <c r="F753" t="s">
        <v>31</v>
      </c>
      <c r="G753" t="s">
        <v>21</v>
      </c>
      <c r="H753" t="s">
        <v>15</v>
      </c>
      <c r="I753" s="3">
        <v>0</v>
      </c>
      <c r="J753" t="s">
        <v>22</v>
      </c>
      <c r="K753" t="s">
        <v>32</v>
      </c>
      <c r="L753" s="3">
        <v>36</v>
      </c>
      <c r="M753" s="3" t="str" cm="1">
        <f t="array" ref="M753">_xlfn.IFS(
L753&gt;=65,"Retirement Age",
AND(L753&lt;65,L753&gt;=40),"Middle Aged",
AND(L753&lt;40,L753&gt;=30),"In the 30s",
L753&lt;30,"Below 30")</f>
        <v>In the 30s</v>
      </c>
      <c r="N753" t="s">
        <v>18</v>
      </c>
    </row>
    <row r="754" spans="1:14" x14ac:dyDescent="0.25">
      <c r="A754">
        <v>22211</v>
      </c>
      <c r="B754" t="s">
        <v>36</v>
      </c>
      <c r="C754" t="s">
        <v>38</v>
      </c>
      <c r="D754" s="1">
        <v>60000</v>
      </c>
      <c r="E754" s="3">
        <v>0</v>
      </c>
      <c r="F754" t="s">
        <v>19</v>
      </c>
      <c r="G754" t="s">
        <v>21</v>
      </c>
      <c r="H754" t="s">
        <v>15</v>
      </c>
      <c r="I754" s="3">
        <v>2</v>
      </c>
      <c r="J754" t="s">
        <v>23</v>
      </c>
      <c r="K754" t="s">
        <v>32</v>
      </c>
      <c r="L754" s="3">
        <v>32</v>
      </c>
      <c r="M754" s="3" t="str" cm="1">
        <f t="array" ref="M754">_xlfn.IFS(
L754&gt;=65,"Retirement Age",
AND(L754&lt;65,L754&gt;=40),"Middle Aged",
AND(L754&lt;40,L754&gt;=30),"In the 30s",
L754&lt;30,"Below 30")</f>
        <v>In the 30s</v>
      </c>
      <c r="N754" t="s">
        <v>18</v>
      </c>
    </row>
    <row r="755" spans="1:14" x14ac:dyDescent="0.25">
      <c r="A755">
        <v>28087</v>
      </c>
      <c r="B755" t="s">
        <v>37</v>
      </c>
      <c r="C755" t="s">
        <v>39</v>
      </c>
      <c r="D755" s="1">
        <v>40000</v>
      </c>
      <c r="E755" s="3">
        <v>0</v>
      </c>
      <c r="F755" t="s">
        <v>19</v>
      </c>
      <c r="G755" t="s">
        <v>14</v>
      </c>
      <c r="H755" t="s">
        <v>18</v>
      </c>
      <c r="I755" s="3">
        <v>1</v>
      </c>
      <c r="J755" t="s">
        <v>26</v>
      </c>
      <c r="K755" t="s">
        <v>32</v>
      </c>
      <c r="L755" s="3">
        <v>27</v>
      </c>
      <c r="M755" s="3" t="str" cm="1">
        <f t="array" ref="M755">_xlfn.IFS(
L755&gt;=65,"Retirement Age",
AND(L755&lt;65,L755&gt;=40),"Middle Aged",
AND(L755&lt;40,L755&gt;=30),"In the 30s",
L755&lt;30,"Below 30")</f>
        <v>Below 30</v>
      </c>
      <c r="N755" t="s">
        <v>18</v>
      </c>
    </row>
    <row r="756" spans="1:14" x14ac:dyDescent="0.25">
      <c r="A756">
        <v>23668</v>
      </c>
      <c r="B756" t="s">
        <v>36</v>
      </c>
      <c r="C756" t="s">
        <v>39</v>
      </c>
      <c r="D756" s="1">
        <v>40000</v>
      </c>
      <c r="E756" s="3">
        <v>4</v>
      </c>
      <c r="F756" t="s">
        <v>27</v>
      </c>
      <c r="G756" t="s">
        <v>21</v>
      </c>
      <c r="H756" t="s">
        <v>15</v>
      </c>
      <c r="I756" s="3">
        <v>2</v>
      </c>
      <c r="J756" t="s">
        <v>23</v>
      </c>
      <c r="K756" t="s">
        <v>32</v>
      </c>
      <c r="L756" s="3">
        <v>59</v>
      </c>
      <c r="M756" s="3" t="str" cm="1">
        <f t="array" ref="M756">_xlfn.IFS(
L756&gt;=65,"Retirement Age",
AND(L756&lt;65,L756&gt;=40),"Middle Aged",
AND(L756&lt;40,L756&gt;=30),"In the 30s",
L756&lt;30,"Below 30")</f>
        <v>Middle Aged</v>
      </c>
      <c r="N756" t="s">
        <v>15</v>
      </c>
    </row>
    <row r="757" spans="1:14" x14ac:dyDescent="0.25">
      <c r="A757">
        <v>27441</v>
      </c>
      <c r="B757" t="s">
        <v>36</v>
      </c>
      <c r="C757" t="s">
        <v>38</v>
      </c>
      <c r="D757" s="1">
        <v>60000</v>
      </c>
      <c r="E757" s="3">
        <v>3</v>
      </c>
      <c r="F757" t="s">
        <v>27</v>
      </c>
      <c r="G757" t="s">
        <v>21</v>
      </c>
      <c r="H757" t="s">
        <v>18</v>
      </c>
      <c r="I757" s="3">
        <v>2</v>
      </c>
      <c r="J757" t="s">
        <v>22</v>
      </c>
      <c r="K757" t="s">
        <v>32</v>
      </c>
      <c r="L757" s="3">
        <v>53</v>
      </c>
      <c r="M757" s="3" t="str" cm="1">
        <f t="array" ref="M757">_xlfn.IFS(
L757&gt;=65,"Retirement Age",
AND(L757&lt;65,L757&gt;=40),"Middle Aged",
AND(L757&lt;40,L757&gt;=30),"In the 30s",
L757&lt;30,"Below 30")</f>
        <v>Middle Aged</v>
      </c>
      <c r="N757" t="s">
        <v>18</v>
      </c>
    </row>
    <row r="758" spans="1:14" x14ac:dyDescent="0.25">
      <c r="A758">
        <v>27261</v>
      </c>
      <c r="B758" t="s">
        <v>36</v>
      </c>
      <c r="C758" t="s">
        <v>38</v>
      </c>
      <c r="D758" s="1">
        <v>40000</v>
      </c>
      <c r="E758" s="3">
        <v>1</v>
      </c>
      <c r="F758" t="s">
        <v>13</v>
      </c>
      <c r="G758" t="s">
        <v>14</v>
      </c>
      <c r="H758" t="s">
        <v>18</v>
      </c>
      <c r="I758" s="3">
        <v>1</v>
      </c>
      <c r="J758" t="s">
        <v>16</v>
      </c>
      <c r="K758" t="s">
        <v>32</v>
      </c>
      <c r="L758" s="3">
        <v>36</v>
      </c>
      <c r="M758" s="3" t="str" cm="1">
        <f t="array" ref="M758">_xlfn.IFS(
L758&gt;=65,"Retirement Age",
AND(L758&lt;65,L758&gt;=40),"Middle Aged",
AND(L758&lt;40,L758&gt;=30),"In the 30s",
L758&lt;30,"Below 30")</f>
        <v>In the 30s</v>
      </c>
      <c r="N758" t="s">
        <v>15</v>
      </c>
    </row>
    <row r="759" spans="1:14" x14ac:dyDescent="0.25">
      <c r="A759">
        <v>18649</v>
      </c>
      <c r="B759" t="s">
        <v>37</v>
      </c>
      <c r="C759" t="s">
        <v>38</v>
      </c>
      <c r="D759" s="1">
        <v>30000</v>
      </c>
      <c r="E759" s="3">
        <v>1</v>
      </c>
      <c r="F759" t="s">
        <v>27</v>
      </c>
      <c r="G759" t="s">
        <v>20</v>
      </c>
      <c r="H759" t="s">
        <v>15</v>
      </c>
      <c r="I759" s="3">
        <v>2</v>
      </c>
      <c r="J759" t="s">
        <v>26</v>
      </c>
      <c r="K759" t="s">
        <v>32</v>
      </c>
      <c r="L759" s="3">
        <v>51</v>
      </c>
      <c r="M759" s="3" t="str" cm="1">
        <f t="array" ref="M759">_xlfn.IFS(
L759&gt;=65,"Retirement Age",
AND(L759&lt;65,L759&gt;=40),"Middle Aged",
AND(L759&lt;40,L759&gt;=30),"In the 30s",
L759&lt;30,"Below 30")</f>
        <v>Middle Aged</v>
      </c>
      <c r="N759" t="s">
        <v>15</v>
      </c>
    </row>
    <row r="760" spans="1:14" x14ac:dyDescent="0.25">
      <c r="A760">
        <v>21714</v>
      </c>
      <c r="B760" t="s">
        <v>37</v>
      </c>
      <c r="C760" t="s">
        <v>39</v>
      </c>
      <c r="D760" s="1">
        <v>80000</v>
      </c>
      <c r="E760" s="3">
        <v>5</v>
      </c>
      <c r="F760" t="s">
        <v>31</v>
      </c>
      <c r="G760" t="s">
        <v>14</v>
      </c>
      <c r="H760" t="s">
        <v>18</v>
      </c>
      <c r="I760" s="3">
        <v>0</v>
      </c>
      <c r="J760" t="s">
        <v>16</v>
      </c>
      <c r="K760" t="s">
        <v>32</v>
      </c>
      <c r="L760" s="3">
        <v>47</v>
      </c>
      <c r="M760" s="3" t="str" cm="1">
        <f t="array" ref="M760">_xlfn.IFS(
L760&gt;=65,"Retirement Age",
AND(L760&lt;65,L760&gt;=40),"Middle Aged",
AND(L760&lt;40,L760&gt;=30),"In the 30s",
L760&lt;30,"Below 30")</f>
        <v>Middle Aged</v>
      </c>
      <c r="N760" t="s">
        <v>18</v>
      </c>
    </row>
    <row r="761" spans="1:14" x14ac:dyDescent="0.25">
      <c r="A761">
        <v>23217</v>
      </c>
      <c r="B761" t="s">
        <v>37</v>
      </c>
      <c r="C761" t="s">
        <v>39</v>
      </c>
      <c r="D761" s="1">
        <v>60000</v>
      </c>
      <c r="E761" s="3">
        <v>3</v>
      </c>
      <c r="F761" t="s">
        <v>31</v>
      </c>
      <c r="G761" t="s">
        <v>21</v>
      </c>
      <c r="H761" t="s">
        <v>15</v>
      </c>
      <c r="I761" s="3">
        <v>0</v>
      </c>
      <c r="J761" t="s">
        <v>22</v>
      </c>
      <c r="K761" t="s">
        <v>32</v>
      </c>
      <c r="L761" s="3">
        <v>43</v>
      </c>
      <c r="M761" s="3" t="str" cm="1">
        <f t="array" ref="M761">_xlfn.IFS(
L761&gt;=65,"Retirement Age",
AND(L761&lt;65,L761&gt;=40),"Middle Aged",
AND(L761&lt;40,L761&gt;=30),"In the 30s",
L761&lt;30,"Below 30")</f>
        <v>Middle Aged</v>
      </c>
      <c r="N761" t="s">
        <v>15</v>
      </c>
    </row>
    <row r="762" spans="1:14" x14ac:dyDescent="0.25">
      <c r="A762">
        <v>23797</v>
      </c>
      <c r="B762" t="s">
        <v>37</v>
      </c>
      <c r="C762" t="s">
        <v>38</v>
      </c>
      <c r="D762" s="1">
        <v>20000</v>
      </c>
      <c r="E762" s="3">
        <v>3</v>
      </c>
      <c r="F762" t="s">
        <v>29</v>
      </c>
      <c r="G762" t="s">
        <v>20</v>
      </c>
      <c r="H762" t="s">
        <v>18</v>
      </c>
      <c r="I762" s="3">
        <v>2</v>
      </c>
      <c r="J762" t="s">
        <v>16</v>
      </c>
      <c r="K762" t="s">
        <v>32</v>
      </c>
      <c r="L762" s="3">
        <v>50</v>
      </c>
      <c r="M762" s="3" t="str" cm="1">
        <f t="array" ref="M762">_xlfn.IFS(
L762&gt;=65,"Retirement Age",
AND(L762&lt;65,L762&gt;=40),"Middle Aged",
AND(L762&lt;40,L762&gt;=30),"In the 30s",
L762&lt;30,"Below 30")</f>
        <v>Middle Aged</v>
      </c>
      <c r="N762" t="s">
        <v>18</v>
      </c>
    </row>
    <row r="763" spans="1:14" x14ac:dyDescent="0.25">
      <c r="A763">
        <v>13216</v>
      </c>
      <c r="B763" t="s">
        <v>36</v>
      </c>
      <c r="C763" t="s">
        <v>39</v>
      </c>
      <c r="D763" s="1">
        <v>60000</v>
      </c>
      <c r="E763" s="3">
        <v>5</v>
      </c>
      <c r="F763" t="s">
        <v>13</v>
      </c>
      <c r="G763" t="s">
        <v>28</v>
      </c>
      <c r="H763" t="s">
        <v>15</v>
      </c>
      <c r="I763" s="3">
        <v>3</v>
      </c>
      <c r="J763" t="s">
        <v>45</v>
      </c>
      <c r="K763" t="s">
        <v>32</v>
      </c>
      <c r="L763" s="3">
        <v>59</v>
      </c>
      <c r="M763" s="3" t="str" cm="1">
        <f t="array" ref="M763">_xlfn.IFS(
L763&gt;=65,"Retirement Age",
AND(L763&lt;65,L763&gt;=40),"Middle Aged",
AND(L763&lt;40,L763&gt;=30),"In the 30s",
L763&lt;30,"Below 30")</f>
        <v>Middle Aged</v>
      </c>
      <c r="N763" t="s">
        <v>18</v>
      </c>
    </row>
    <row r="764" spans="1:14" x14ac:dyDescent="0.25">
      <c r="A764">
        <v>20657</v>
      </c>
      <c r="B764" t="s">
        <v>37</v>
      </c>
      <c r="C764" t="s">
        <v>38</v>
      </c>
      <c r="D764" s="1">
        <v>50000</v>
      </c>
      <c r="E764" s="3">
        <v>2</v>
      </c>
      <c r="F764" t="s">
        <v>13</v>
      </c>
      <c r="G764" t="s">
        <v>14</v>
      </c>
      <c r="H764" t="s">
        <v>15</v>
      </c>
      <c r="I764" s="3">
        <v>0</v>
      </c>
      <c r="J764" t="s">
        <v>22</v>
      </c>
      <c r="K764" t="s">
        <v>32</v>
      </c>
      <c r="L764" s="3">
        <v>37</v>
      </c>
      <c r="M764" s="3" t="str" cm="1">
        <f t="array" ref="M764">_xlfn.IFS(
L764&gt;=65,"Retirement Age",
AND(L764&lt;65,L764&gt;=40),"Middle Aged",
AND(L764&lt;40,L764&gt;=30),"In the 30s",
L764&lt;30,"Below 30")</f>
        <v>In the 30s</v>
      </c>
      <c r="N764" t="s">
        <v>15</v>
      </c>
    </row>
    <row r="765" spans="1:14" x14ac:dyDescent="0.25">
      <c r="A765">
        <v>12882</v>
      </c>
      <c r="B765" t="s">
        <v>36</v>
      </c>
      <c r="C765" t="s">
        <v>38</v>
      </c>
      <c r="D765" s="1">
        <v>50000</v>
      </c>
      <c r="E765" s="3">
        <v>1</v>
      </c>
      <c r="F765" t="s">
        <v>31</v>
      </c>
      <c r="G765" t="s">
        <v>14</v>
      </c>
      <c r="H765" t="s">
        <v>15</v>
      </c>
      <c r="I765" s="3">
        <v>0</v>
      </c>
      <c r="J765" t="s">
        <v>16</v>
      </c>
      <c r="K765" t="s">
        <v>32</v>
      </c>
      <c r="L765" s="3">
        <v>33</v>
      </c>
      <c r="M765" s="3" t="str" cm="1">
        <f t="array" ref="M765">_xlfn.IFS(
L765&gt;=65,"Retirement Age",
AND(L765&lt;65,L765&gt;=40),"Middle Aged",
AND(L765&lt;40,L765&gt;=30),"In the 30s",
L765&lt;30,"Below 30")</f>
        <v>In the 30s</v>
      </c>
      <c r="N765" t="s">
        <v>15</v>
      </c>
    </row>
    <row r="766" spans="1:14" x14ac:dyDescent="0.25">
      <c r="A766">
        <v>25908</v>
      </c>
      <c r="B766" t="s">
        <v>36</v>
      </c>
      <c r="C766" t="s">
        <v>39</v>
      </c>
      <c r="D766" s="1">
        <v>60000</v>
      </c>
      <c r="E766" s="3">
        <v>0</v>
      </c>
      <c r="F766" t="s">
        <v>19</v>
      </c>
      <c r="G766" t="s">
        <v>14</v>
      </c>
      <c r="H766" t="s">
        <v>18</v>
      </c>
      <c r="I766" s="3">
        <v>1</v>
      </c>
      <c r="J766" t="s">
        <v>26</v>
      </c>
      <c r="K766" t="s">
        <v>32</v>
      </c>
      <c r="L766" s="3">
        <v>27</v>
      </c>
      <c r="M766" s="3" t="str" cm="1">
        <f t="array" ref="M766">_xlfn.IFS(
L766&gt;=65,"Retirement Age",
AND(L766&lt;65,L766&gt;=40),"Middle Aged",
AND(L766&lt;40,L766&gt;=30),"In the 30s",
L766&lt;30,"Below 30")</f>
        <v>Below 30</v>
      </c>
      <c r="N766" t="s">
        <v>18</v>
      </c>
    </row>
    <row r="767" spans="1:14" x14ac:dyDescent="0.25">
      <c r="A767">
        <v>16753</v>
      </c>
      <c r="B767" t="s">
        <v>37</v>
      </c>
      <c r="C767" t="s">
        <v>39</v>
      </c>
      <c r="D767" s="1">
        <v>70000</v>
      </c>
      <c r="E767" s="3">
        <v>0</v>
      </c>
      <c r="F767" t="s">
        <v>19</v>
      </c>
      <c r="G767" t="s">
        <v>14</v>
      </c>
      <c r="H767" t="s">
        <v>15</v>
      </c>
      <c r="I767" s="3">
        <v>2</v>
      </c>
      <c r="J767" t="s">
        <v>23</v>
      </c>
      <c r="K767" t="s">
        <v>32</v>
      </c>
      <c r="L767" s="3">
        <v>34</v>
      </c>
      <c r="M767" s="3" t="str" cm="1">
        <f t="array" ref="M767">_xlfn.IFS(
L767&gt;=65,"Retirement Age",
AND(L767&lt;65,L767&gt;=40),"Middle Aged",
AND(L767&lt;40,L767&gt;=30),"In the 30s",
L767&lt;30,"Below 30")</f>
        <v>In the 30s</v>
      </c>
      <c r="N767" t="s">
        <v>15</v>
      </c>
    </row>
    <row r="768" spans="1:14" x14ac:dyDescent="0.25">
      <c r="A768">
        <v>14608</v>
      </c>
      <c r="B768" t="s">
        <v>36</v>
      </c>
      <c r="C768" t="s">
        <v>38</v>
      </c>
      <c r="D768" s="1">
        <v>50000</v>
      </c>
      <c r="E768" s="3">
        <v>4</v>
      </c>
      <c r="F768" t="s">
        <v>13</v>
      </c>
      <c r="G768" t="s">
        <v>14</v>
      </c>
      <c r="H768" t="s">
        <v>15</v>
      </c>
      <c r="I768" s="3">
        <v>3</v>
      </c>
      <c r="J768" t="s">
        <v>45</v>
      </c>
      <c r="K768" t="s">
        <v>32</v>
      </c>
      <c r="L768" s="3">
        <v>42</v>
      </c>
      <c r="M768" s="3" t="str" cm="1">
        <f t="array" ref="M768">_xlfn.IFS(
L768&gt;=65,"Retirement Age",
AND(L768&lt;65,L768&gt;=40),"Middle Aged",
AND(L768&lt;40,L768&gt;=30),"In the 30s",
L768&lt;30,"Below 30")</f>
        <v>Middle Aged</v>
      </c>
      <c r="N768" t="s">
        <v>18</v>
      </c>
    </row>
    <row r="769" spans="1:14" x14ac:dyDescent="0.25">
      <c r="A769">
        <v>24979</v>
      </c>
      <c r="B769" t="s">
        <v>36</v>
      </c>
      <c r="C769" t="s">
        <v>39</v>
      </c>
      <c r="D769" s="1">
        <v>60000</v>
      </c>
      <c r="E769" s="3">
        <v>2</v>
      </c>
      <c r="F769" t="s">
        <v>19</v>
      </c>
      <c r="G769" t="s">
        <v>21</v>
      </c>
      <c r="H769" t="s">
        <v>15</v>
      </c>
      <c r="I769" s="3">
        <v>2</v>
      </c>
      <c r="J769" t="s">
        <v>22</v>
      </c>
      <c r="K769" t="s">
        <v>32</v>
      </c>
      <c r="L769" s="3">
        <v>57</v>
      </c>
      <c r="M769" s="3" t="str" cm="1">
        <f t="array" ref="M769">_xlfn.IFS(
L769&gt;=65,"Retirement Age",
AND(L769&lt;65,L769&gt;=40),"Middle Aged",
AND(L769&lt;40,L769&gt;=30),"In the 30s",
L769&lt;30,"Below 30")</f>
        <v>Middle Aged</v>
      </c>
      <c r="N769" t="s">
        <v>15</v>
      </c>
    </row>
    <row r="770" spans="1:14" x14ac:dyDescent="0.25">
      <c r="A770">
        <v>13313</v>
      </c>
      <c r="B770" t="s">
        <v>36</v>
      </c>
      <c r="C770" t="s">
        <v>39</v>
      </c>
      <c r="D770" s="1">
        <v>120000</v>
      </c>
      <c r="E770" s="3">
        <v>1</v>
      </c>
      <c r="F770" t="s">
        <v>27</v>
      </c>
      <c r="G770" t="s">
        <v>21</v>
      </c>
      <c r="H770" t="s">
        <v>18</v>
      </c>
      <c r="I770" s="3">
        <v>4</v>
      </c>
      <c r="J770" t="s">
        <v>22</v>
      </c>
      <c r="K770" t="s">
        <v>32</v>
      </c>
      <c r="L770" s="3">
        <v>45</v>
      </c>
      <c r="M770" s="3" t="str" cm="1">
        <f t="array" ref="M770">_xlfn.IFS(
L770&gt;=65,"Retirement Age",
AND(L770&lt;65,L770&gt;=40),"Middle Aged",
AND(L770&lt;40,L770&gt;=30),"In the 30s",
L770&lt;30,"Below 30")</f>
        <v>Middle Aged</v>
      </c>
      <c r="N770" t="s">
        <v>18</v>
      </c>
    </row>
    <row r="771" spans="1:14" x14ac:dyDescent="0.25">
      <c r="A771">
        <v>18952</v>
      </c>
      <c r="B771" t="s">
        <v>36</v>
      </c>
      <c r="C771" t="s">
        <v>39</v>
      </c>
      <c r="D771" s="1">
        <v>100000</v>
      </c>
      <c r="E771" s="3">
        <v>4</v>
      </c>
      <c r="F771" t="s">
        <v>13</v>
      </c>
      <c r="G771" t="s">
        <v>28</v>
      </c>
      <c r="H771" t="s">
        <v>15</v>
      </c>
      <c r="I771" s="3">
        <v>4</v>
      </c>
      <c r="J771" t="s">
        <v>16</v>
      </c>
      <c r="K771" t="s">
        <v>32</v>
      </c>
      <c r="L771" s="3">
        <v>40</v>
      </c>
      <c r="M771" s="3" t="str" cm="1">
        <f t="array" ref="M771">_xlfn.IFS(
L771&gt;=65,"Retirement Age",
AND(L771&lt;65,L771&gt;=40),"Middle Aged",
AND(L771&lt;40,L771&gt;=30),"In the 30s",
L771&lt;30,"Below 30")</f>
        <v>Middle Aged</v>
      </c>
      <c r="N771" t="s">
        <v>18</v>
      </c>
    </row>
    <row r="772" spans="1:14" x14ac:dyDescent="0.25">
      <c r="A772">
        <v>17699</v>
      </c>
      <c r="B772" t="s">
        <v>36</v>
      </c>
      <c r="C772" t="s">
        <v>38</v>
      </c>
      <c r="D772" s="1">
        <v>60000</v>
      </c>
      <c r="E772" s="3">
        <v>1</v>
      </c>
      <c r="F772" t="s">
        <v>31</v>
      </c>
      <c r="G772" t="s">
        <v>14</v>
      </c>
      <c r="H772" t="s">
        <v>18</v>
      </c>
      <c r="I772" s="3">
        <v>0</v>
      </c>
      <c r="J772" t="s">
        <v>16</v>
      </c>
      <c r="K772" t="s">
        <v>32</v>
      </c>
      <c r="L772" s="3">
        <v>55</v>
      </c>
      <c r="M772" s="3" t="str" cm="1">
        <f t="array" ref="M772">_xlfn.IFS(
L772&gt;=65,"Retirement Age",
AND(L772&lt;65,L772&gt;=40),"Middle Aged",
AND(L772&lt;40,L772&gt;=30),"In the 30s",
L772&lt;30,"Below 30")</f>
        <v>Middle Aged</v>
      </c>
      <c r="N772" t="s">
        <v>18</v>
      </c>
    </row>
    <row r="773" spans="1:14" x14ac:dyDescent="0.25">
      <c r="A773">
        <v>14657</v>
      </c>
      <c r="B773" t="s">
        <v>36</v>
      </c>
      <c r="C773" t="s">
        <v>38</v>
      </c>
      <c r="D773" s="1">
        <v>80000</v>
      </c>
      <c r="E773" s="3">
        <v>1</v>
      </c>
      <c r="F773" t="s">
        <v>19</v>
      </c>
      <c r="G773" t="s">
        <v>14</v>
      </c>
      <c r="H773" t="s">
        <v>18</v>
      </c>
      <c r="I773" s="3">
        <v>1</v>
      </c>
      <c r="J773" t="s">
        <v>16</v>
      </c>
      <c r="K773" t="s">
        <v>32</v>
      </c>
      <c r="L773" s="3">
        <v>47</v>
      </c>
      <c r="M773" s="3" t="str" cm="1">
        <f t="array" ref="M773">_xlfn.IFS(
L773&gt;=65,"Retirement Age",
AND(L773&lt;65,L773&gt;=40),"Middle Aged",
AND(L773&lt;40,L773&gt;=30),"In the 30s",
L773&lt;30,"Below 30")</f>
        <v>Middle Aged</v>
      </c>
      <c r="N773" t="s">
        <v>15</v>
      </c>
    </row>
    <row r="774" spans="1:14" x14ac:dyDescent="0.25">
      <c r="A774">
        <v>11540</v>
      </c>
      <c r="B774" t="s">
        <v>37</v>
      </c>
      <c r="C774" t="s">
        <v>38</v>
      </c>
      <c r="D774" s="1">
        <v>60000</v>
      </c>
      <c r="E774" s="3">
        <v>4</v>
      </c>
      <c r="F774" t="s">
        <v>31</v>
      </c>
      <c r="G774" t="s">
        <v>14</v>
      </c>
      <c r="H774" t="s">
        <v>15</v>
      </c>
      <c r="I774" s="3">
        <v>0</v>
      </c>
      <c r="J774" t="s">
        <v>26</v>
      </c>
      <c r="K774" t="s">
        <v>32</v>
      </c>
      <c r="L774" s="3">
        <v>47</v>
      </c>
      <c r="M774" s="3" t="str" cm="1">
        <f t="array" ref="M774">_xlfn.IFS(
L774&gt;=65,"Retirement Age",
AND(L774&lt;65,L774&gt;=40),"Middle Aged",
AND(L774&lt;40,L774&gt;=30),"In the 30s",
L774&lt;30,"Below 30")</f>
        <v>Middle Aged</v>
      </c>
      <c r="N774" t="s">
        <v>15</v>
      </c>
    </row>
    <row r="775" spans="1:14" x14ac:dyDescent="0.25">
      <c r="A775">
        <v>11783</v>
      </c>
      <c r="B775" t="s">
        <v>36</v>
      </c>
      <c r="C775" t="s">
        <v>39</v>
      </c>
      <c r="D775" s="1">
        <v>60000</v>
      </c>
      <c r="E775" s="3">
        <v>1</v>
      </c>
      <c r="F775" t="s">
        <v>31</v>
      </c>
      <c r="G775" t="s">
        <v>14</v>
      </c>
      <c r="H775" t="s">
        <v>15</v>
      </c>
      <c r="I775" s="3">
        <v>0</v>
      </c>
      <c r="J775" t="s">
        <v>16</v>
      </c>
      <c r="K775" t="s">
        <v>32</v>
      </c>
      <c r="L775" s="3">
        <v>34</v>
      </c>
      <c r="M775" s="3" t="str" cm="1">
        <f t="array" ref="M775">_xlfn.IFS(
L775&gt;=65,"Retirement Age",
AND(L775&lt;65,L775&gt;=40),"Middle Aged",
AND(L775&lt;40,L775&gt;=30),"In the 30s",
L775&lt;30,"Below 30")</f>
        <v>In the 30s</v>
      </c>
      <c r="N775" t="s">
        <v>18</v>
      </c>
    </row>
    <row r="776" spans="1:14" x14ac:dyDescent="0.25">
      <c r="A776">
        <v>14602</v>
      </c>
      <c r="B776" t="s">
        <v>36</v>
      </c>
      <c r="C776" t="s">
        <v>39</v>
      </c>
      <c r="D776" s="1">
        <v>80000</v>
      </c>
      <c r="E776" s="3">
        <v>3</v>
      </c>
      <c r="F776" t="s">
        <v>31</v>
      </c>
      <c r="G776" t="s">
        <v>21</v>
      </c>
      <c r="H776" t="s">
        <v>15</v>
      </c>
      <c r="I776" s="3">
        <v>0</v>
      </c>
      <c r="J776" t="s">
        <v>16</v>
      </c>
      <c r="K776" t="s">
        <v>32</v>
      </c>
      <c r="L776" s="3">
        <v>36</v>
      </c>
      <c r="M776" s="3" t="str" cm="1">
        <f t="array" ref="M776">_xlfn.IFS(
L776&gt;=65,"Retirement Age",
AND(L776&lt;65,L776&gt;=40),"Middle Aged",
AND(L776&lt;40,L776&gt;=30),"In the 30s",
L776&lt;30,"Below 30")</f>
        <v>In the 30s</v>
      </c>
      <c r="N776" t="s">
        <v>15</v>
      </c>
    </row>
    <row r="777" spans="1:14" x14ac:dyDescent="0.25">
      <c r="A777">
        <v>29030</v>
      </c>
      <c r="B777" t="s">
        <v>36</v>
      </c>
      <c r="C777" t="s">
        <v>38</v>
      </c>
      <c r="D777" s="1">
        <v>70000</v>
      </c>
      <c r="E777" s="3">
        <v>2</v>
      </c>
      <c r="F777" t="s">
        <v>29</v>
      </c>
      <c r="G777" t="s">
        <v>14</v>
      </c>
      <c r="H777" t="s">
        <v>15</v>
      </c>
      <c r="I777" s="3">
        <v>2</v>
      </c>
      <c r="J777" t="s">
        <v>45</v>
      </c>
      <c r="K777" t="s">
        <v>32</v>
      </c>
      <c r="L777" s="3">
        <v>54</v>
      </c>
      <c r="M777" s="3" t="str" cm="1">
        <f t="array" ref="M777">_xlfn.IFS(
L777&gt;=65,"Retirement Age",
AND(L777&lt;65,L777&gt;=40),"Middle Aged",
AND(L777&lt;40,L777&gt;=30),"In the 30s",
L777&lt;30,"Below 30")</f>
        <v>Middle Aged</v>
      </c>
      <c r="N777" t="s">
        <v>18</v>
      </c>
    </row>
    <row r="778" spans="1:14" x14ac:dyDescent="0.25">
      <c r="A778">
        <v>26490</v>
      </c>
      <c r="B778" t="s">
        <v>37</v>
      </c>
      <c r="C778" t="s">
        <v>38</v>
      </c>
      <c r="D778" s="1">
        <v>70000</v>
      </c>
      <c r="E778" s="3">
        <v>2</v>
      </c>
      <c r="F778" t="s">
        <v>13</v>
      </c>
      <c r="G778" t="s">
        <v>28</v>
      </c>
      <c r="H778" t="s">
        <v>18</v>
      </c>
      <c r="I778" s="3">
        <v>1</v>
      </c>
      <c r="J778" t="s">
        <v>22</v>
      </c>
      <c r="K778" t="s">
        <v>32</v>
      </c>
      <c r="L778" s="3">
        <v>59</v>
      </c>
      <c r="M778" s="3" t="str" cm="1">
        <f t="array" ref="M778">_xlfn.IFS(
L778&gt;=65,"Retirement Age",
AND(L778&lt;65,L778&gt;=40),"Middle Aged",
AND(L778&lt;40,L778&gt;=30),"In the 30s",
L778&lt;30,"Below 30")</f>
        <v>Middle Aged</v>
      </c>
      <c r="N778" t="s">
        <v>15</v>
      </c>
    </row>
    <row r="779" spans="1:14" x14ac:dyDescent="0.25">
      <c r="A779">
        <v>13151</v>
      </c>
      <c r="B779" t="s">
        <v>37</v>
      </c>
      <c r="C779" t="s">
        <v>38</v>
      </c>
      <c r="D779" s="1">
        <v>40000</v>
      </c>
      <c r="E779" s="3">
        <v>0</v>
      </c>
      <c r="F779" t="s">
        <v>27</v>
      </c>
      <c r="G779" t="s">
        <v>14</v>
      </c>
      <c r="H779" t="s">
        <v>15</v>
      </c>
      <c r="I779" s="3">
        <v>2</v>
      </c>
      <c r="J779" t="s">
        <v>23</v>
      </c>
      <c r="K779" t="s">
        <v>32</v>
      </c>
      <c r="L779" s="3">
        <v>27</v>
      </c>
      <c r="M779" s="3" t="str" cm="1">
        <f t="array" ref="M779">_xlfn.IFS(
L779&gt;=65,"Retirement Age",
AND(L779&lt;65,L779&gt;=40),"Middle Aged",
AND(L779&lt;40,L779&gt;=30),"In the 30s",
L779&lt;30,"Below 30")</f>
        <v>Below 30</v>
      </c>
      <c r="N779" t="s">
        <v>18</v>
      </c>
    </row>
    <row r="780" spans="1:14" x14ac:dyDescent="0.25">
      <c r="A780">
        <v>17260</v>
      </c>
      <c r="B780" t="s">
        <v>36</v>
      </c>
      <c r="C780" t="s">
        <v>38</v>
      </c>
      <c r="D780" s="1">
        <v>90000</v>
      </c>
      <c r="E780" s="3">
        <v>5</v>
      </c>
      <c r="F780" t="s">
        <v>19</v>
      </c>
      <c r="G780" t="s">
        <v>21</v>
      </c>
      <c r="H780" t="s">
        <v>15</v>
      </c>
      <c r="I780" s="3">
        <v>3</v>
      </c>
      <c r="J780" t="s">
        <v>16</v>
      </c>
      <c r="K780" t="s">
        <v>32</v>
      </c>
      <c r="L780" s="3">
        <v>41</v>
      </c>
      <c r="M780" s="3" t="str" cm="1">
        <f t="array" ref="M780">_xlfn.IFS(
L780&gt;=65,"Retirement Age",
AND(L780&lt;65,L780&gt;=40),"Middle Aged",
AND(L780&lt;40,L780&gt;=30),"In the 30s",
L780&lt;30,"Below 30")</f>
        <v>Middle Aged</v>
      </c>
      <c r="N780" t="s">
        <v>18</v>
      </c>
    </row>
    <row r="781" spans="1:14" x14ac:dyDescent="0.25">
      <c r="A781">
        <v>15372</v>
      </c>
      <c r="B781" t="s">
        <v>36</v>
      </c>
      <c r="C781" t="s">
        <v>38</v>
      </c>
      <c r="D781" s="1">
        <v>80000</v>
      </c>
      <c r="E781" s="3">
        <v>3</v>
      </c>
      <c r="F781" t="s">
        <v>19</v>
      </c>
      <c r="G781" t="s">
        <v>21</v>
      </c>
      <c r="H781" t="s">
        <v>18</v>
      </c>
      <c r="I781" s="3">
        <v>2</v>
      </c>
      <c r="J781" t="s">
        <v>22</v>
      </c>
      <c r="K781" t="s">
        <v>32</v>
      </c>
      <c r="L781" s="3">
        <v>50</v>
      </c>
      <c r="M781" s="3" t="str" cm="1">
        <f t="array" ref="M781">_xlfn.IFS(
L781&gt;=65,"Retirement Age",
AND(L781&lt;65,L781&gt;=40),"Middle Aged",
AND(L781&lt;40,L781&gt;=30),"In the 30s",
L781&lt;30,"Below 30")</f>
        <v>Middle Aged</v>
      </c>
      <c r="N781" t="s">
        <v>15</v>
      </c>
    </row>
    <row r="782" spans="1:14" x14ac:dyDescent="0.25">
      <c r="A782">
        <v>18105</v>
      </c>
      <c r="B782" t="s">
        <v>36</v>
      </c>
      <c r="C782" t="s">
        <v>39</v>
      </c>
      <c r="D782" s="1">
        <v>60000</v>
      </c>
      <c r="E782" s="3">
        <v>2</v>
      </c>
      <c r="F782" t="s">
        <v>19</v>
      </c>
      <c r="G782" t="s">
        <v>21</v>
      </c>
      <c r="H782" t="s">
        <v>15</v>
      </c>
      <c r="I782" s="3">
        <v>1</v>
      </c>
      <c r="J782" t="s">
        <v>45</v>
      </c>
      <c r="K782" t="s">
        <v>32</v>
      </c>
      <c r="L782" s="3">
        <v>55</v>
      </c>
      <c r="M782" s="3" t="str" cm="1">
        <f t="array" ref="M782">_xlfn.IFS(
L782&gt;=65,"Retirement Age",
AND(L782&lt;65,L782&gt;=40),"Middle Aged",
AND(L782&lt;40,L782&gt;=30),"In the 30s",
L782&lt;30,"Below 30")</f>
        <v>Middle Aged</v>
      </c>
      <c r="N782" t="s">
        <v>18</v>
      </c>
    </row>
    <row r="783" spans="1:14" x14ac:dyDescent="0.25">
      <c r="A783">
        <v>19660</v>
      </c>
      <c r="B783" t="s">
        <v>36</v>
      </c>
      <c r="C783" t="s">
        <v>38</v>
      </c>
      <c r="D783" s="1">
        <v>80000</v>
      </c>
      <c r="E783" s="3">
        <v>4</v>
      </c>
      <c r="F783" t="s">
        <v>13</v>
      </c>
      <c r="G783" t="s">
        <v>28</v>
      </c>
      <c r="H783" t="s">
        <v>15</v>
      </c>
      <c r="I783" s="3">
        <v>0</v>
      </c>
      <c r="J783" t="s">
        <v>16</v>
      </c>
      <c r="K783" t="s">
        <v>32</v>
      </c>
      <c r="L783" s="3">
        <v>43</v>
      </c>
      <c r="M783" s="3" t="str" cm="1">
        <f t="array" ref="M783">_xlfn.IFS(
L783&gt;=65,"Retirement Age",
AND(L783&lt;65,L783&gt;=40),"Middle Aged",
AND(L783&lt;40,L783&gt;=30),"In the 30s",
L783&lt;30,"Below 30")</f>
        <v>Middle Aged</v>
      </c>
      <c r="N783" t="s">
        <v>18</v>
      </c>
    </row>
    <row r="784" spans="1:14" x14ac:dyDescent="0.25">
      <c r="A784">
        <v>16112</v>
      </c>
      <c r="B784" t="s">
        <v>37</v>
      </c>
      <c r="C784" t="s">
        <v>38</v>
      </c>
      <c r="D784" s="1">
        <v>70000</v>
      </c>
      <c r="E784" s="3">
        <v>4</v>
      </c>
      <c r="F784" t="s">
        <v>13</v>
      </c>
      <c r="G784" t="s">
        <v>21</v>
      </c>
      <c r="H784" t="s">
        <v>15</v>
      </c>
      <c r="I784" s="3">
        <v>2</v>
      </c>
      <c r="J784" t="s">
        <v>22</v>
      </c>
      <c r="K784" t="s">
        <v>32</v>
      </c>
      <c r="L784" s="3">
        <v>43</v>
      </c>
      <c r="M784" s="3" t="str" cm="1">
        <f t="array" ref="M784">_xlfn.IFS(
L784&gt;=65,"Retirement Age",
AND(L784&lt;65,L784&gt;=40),"Middle Aged",
AND(L784&lt;40,L784&gt;=30),"In the 30s",
L784&lt;30,"Below 30")</f>
        <v>Middle Aged</v>
      </c>
      <c r="N784" t="s">
        <v>15</v>
      </c>
    </row>
    <row r="785" spans="1:14" x14ac:dyDescent="0.25">
      <c r="A785">
        <v>20698</v>
      </c>
      <c r="B785" t="s">
        <v>36</v>
      </c>
      <c r="C785" t="s">
        <v>38</v>
      </c>
      <c r="D785" s="1">
        <v>60000</v>
      </c>
      <c r="E785" s="3">
        <v>4</v>
      </c>
      <c r="F785" t="s">
        <v>13</v>
      </c>
      <c r="G785" t="s">
        <v>14</v>
      </c>
      <c r="H785" t="s">
        <v>15</v>
      </c>
      <c r="I785" s="3">
        <v>3</v>
      </c>
      <c r="J785" t="s">
        <v>23</v>
      </c>
      <c r="K785" t="s">
        <v>32</v>
      </c>
      <c r="L785" s="3">
        <v>42</v>
      </c>
      <c r="M785" s="3" t="str" cm="1">
        <f t="array" ref="M785">_xlfn.IFS(
L785&gt;=65,"Retirement Age",
AND(L785&lt;65,L785&gt;=40),"Middle Aged",
AND(L785&lt;40,L785&gt;=30),"In the 30s",
L785&lt;30,"Below 30")</f>
        <v>Middle Aged</v>
      </c>
      <c r="N785" t="s">
        <v>18</v>
      </c>
    </row>
    <row r="786" spans="1:14" x14ac:dyDescent="0.25">
      <c r="A786">
        <v>20076</v>
      </c>
      <c r="B786" t="s">
        <v>37</v>
      </c>
      <c r="C786" t="s">
        <v>39</v>
      </c>
      <c r="D786" s="1">
        <v>10000</v>
      </c>
      <c r="E786" s="3">
        <v>2</v>
      </c>
      <c r="F786" t="s">
        <v>27</v>
      </c>
      <c r="G786" t="s">
        <v>25</v>
      </c>
      <c r="H786" t="s">
        <v>15</v>
      </c>
      <c r="I786" s="3">
        <v>2</v>
      </c>
      <c r="J786" t="s">
        <v>26</v>
      </c>
      <c r="K786" t="s">
        <v>32</v>
      </c>
      <c r="L786" s="3">
        <v>53</v>
      </c>
      <c r="M786" s="3" t="str" cm="1">
        <f t="array" ref="M786">_xlfn.IFS(
L786&gt;=65,"Retirement Age",
AND(L786&lt;65,L786&gt;=40),"Middle Aged",
AND(L786&lt;40,L786&gt;=30),"In the 30s",
L786&lt;30,"Below 30")</f>
        <v>Middle Aged</v>
      </c>
      <c r="N786" t="s">
        <v>15</v>
      </c>
    </row>
    <row r="787" spans="1:14" x14ac:dyDescent="0.25">
      <c r="A787">
        <v>24496</v>
      </c>
      <c r="B787" t="s">
        <v>37</v>
      </c>
      <c r="C787" t="s">
        <v>39</v>
      </c>
      <c r="D787" s="1">
        <v>40000</v>
      </c>
      <c r="E787" s="3">
        <v>0</v>
      </c>
      <c r="F787" t="s">
        <v>27</v>
      </c>
      <c r="G787" t="s">
        <v>14</v>
      </c>
      <c r="H787" t="s">
        <v>18</v>
      </c>
      <c r="I787" s="3">
        <v>2</v>
      </c>
      <c r="J787" t="s">
        <v>16</v>
      </c>
      <c r="K787" t="s">
        <v>32</v>
      </c>
      <c r="L787" s="3">
        <v>28</v>
      </c>
      <c r="M787" s="3" t="str" cm="1">
        <f t="array" ref="M787">_xlfn.IFS(
L787&gt;=65,"Retirement Age",
AND(L787&lt;65,L787&gt;=40),"Middle Aged",
AND(L787&lt;40,L787&gt;=30),"In the 30s",
L787&lt;30,"Below 30")</f>
        <v>Below 30</v>
      </c>
      <c r="N787" t="s">
        <v>15</v>
      </c>
    </row>
    <row r="788" spans="1:14" x14ac:dyDescent="0.25">
      <c r="A788">
        <v>15468</v>
      </c>
      <c r="B788" t="s">
        <v>36</v>
      </c>
      <c r="C788" t="s">
        <v>39</v>
      </c>
      <c r="D788" s="1">
        <v>50000</v>
      </c>
      <c r="E788" s="3">
        <v>1</v>
      </c>
      <c r="F788" t="s">
        <v>13</v>
      </c>
      <c r="G788" t="s">
        <v>14</v>
      </c>
      <c r="H788" t="s">
        <v>15</v>
      </c>
      <c r="I788" s="3">
        <v>1</v>
      </c>
      <c r="J788" t="s">
        <v>16</v>
      </c>
      <c r="K788" t="s">
        <v>32</v>
      </c>
      <c r="L788" s="3">
        <v>35</v>
      </c>
      <c r="M788" s="3" t="str" cm="1">
        <f t="array" ref="M788">_xlfn.IFS(
L788&gt;=65,"Retirement Age",
AND(L788&lt;65,L788&gt;=40),"Middle Aged",
AND(L788&lt;40,L788&gt;=30),"In the 30s",
L788&lt;30,"Below 30")</f>
        <v>In the 30s</v>
      </c>
      <c r="N788" t="s">
        <v>18</v>
      </c>
    </row>
    <row r="789" spans="1:14" x14ac:dyDescent="0.25">
      <c r="A789">
        <v>28031</v>
      </c>
      <c r="B789" t="s">
        <v>37</v>
      </c>
      <c r="C789" t="s">
        <v>39</v>
      </c>
      <c r="D789" s="1">
        <v>70000</v>
      </c>
      <c r="E789" s="3">
        <v>2</v>
      </c>
      <c r="F789" t="s">
        <v>13</v>
      </c>
      <c r="G789" t="s">
        <v>28</v>
      </c>
      <c r="H789" t="s">
        <v>18</v>
      </c>
      <c r="I789" s="3">
        <v>1</v>
      </c>
      <c r="J789" t="s">
        <v>22</v>
      </c>
      <c r="K789" t="s">
        <v>32</v>
      </c>
      <c r="L789" s="3">
        <v>59</v>
      </c>
      <c r="M789" s="3" t="str" cm="1">
        <f t="array" ref="M789">_xlfn.IFS(
L789&gt;=65,"Retirement Age",
AND(L789&lt;65,L789&gt;=40),"Middle Aged",
AND(L789&lt;40,L789&gt;=30),"In the 30s",
L789&lt;30,"Below 30")</f>
        <v>Middle Aged</v>
      </c>
      <c r="N789" t="s">
        <v>15</v>
      </c>
    </row>
    <row r="790" spans="1:14" x14ac:dyDescent="0.25">
      <c r="A790">
        <v>26270</v>
      </c>
      <c r="B790" t="s">
        <v>37</v>
      </c>
      <c r="C790" t="s">
        <v>39</v>
      </c>
      <c r="D790" s="1">
        <v>20000</v>
      </c>
      <c r="E790" s="3">
        <v>2</v>
      </c>
      <c r="F790" t="s">
        <v>29</v>
      </c>
      <c r="G790" t="s">
        <v>20</v>
      </c>
      <c r="H790" t="s">
        <v>15</v>
      </c>
      <c r="I790" s="3">
        <v>2</v>
      </c>
      <c r="J790" t="s">
        <v>26</v>
      </c>
      <c r="K790" t="s">
        <v>32</v>
      </c>
      <c r="L790" s="3">
        <v>49</v>
      </c>
      <c r="M790" s="3" t="str" cm="1">
        <f t="array" ref="M790">_xlfn.IFS(
L790&gt;=65,"Retirement Age",
AND(L790&lt;65,L790&gt;=40),"Middle Aged",
AND(L790&lt;40,L790&gt;=30),"In the 30s",
L790&lt;30,"Below 30")</f>
        <v>Middle Aged</v>
      </c>
      <c r="N790" t="s">
        <v>18</v>
      </c>
    </row>
    <row r="791" spans="1:14" x14ac:dyDescent="0.25">
      <c r="A791">
        <v>22221</v>
      </c>
      <c r="B791" t="s">
        <v>36</v>
      </c>
      <c r="C791" t="s">
        <v>38</v>
      </c>
      <c r="D791" s="1">
        <v>60000</v>
      </c>
      <c r="E791" s="3">
        <v>2</v>
      </c>
      <c r="F791" t="s">
        <v>27</v>
      </c>
      <c r="G791" t="s">
        <v>21</v>
      </c>
      <c r="H791" t="s">
        <v>18</v>
      </c>
      <c r="I791" s="3">
        <v>2</v>
      </c>
      <c r="J791" t="s">
        <v>26</v>
      </c>
      <c r="K791" t="s">
        <v>32</v>
      </c>
      <c r="L791" s="3">
        <v>48</v>
      </c>
      <c r="M791" s="3" t="str" cm="1">
        <f t="array" ref="M791">_xlfn.IFS(
L791&gt;=65,"Retirement Age",
AND(L791&lt;65,L791&gt;=40),"Middle Aged",
AND(L791&lt;40,L791&gt;=30),"In the 30s",
L791&lt;30,"Below 30")</f>
        <v>Middle Aged</v>
      </c>
      <c r="N791" t="s">
        <v>15</v>
      </c>
    </row>
    <row r="792" spans="1:14" x14ac:dyDescent="0.25">
      <c r="A792">
        <v>28228</v>
      </c>
      <c r="B792" t="s">
        <v>37</v>
      </c>
      <c r="C792" t="s">
        <v>39</v>
      </c>
      <c r="D792" s="1">
        <v>80000</v>
      </c>
      <c r="E792" s="3">
        <v>2</v>
      </c>
      <c r="F792" t="s">
        <v>29</v>
      </c>
      <c r="G792" t="s">
        <v>14</v>
      </c>
      <c r="H792" t="s">
        <v>18</v>
      </c>
      <c r="I792" s="3">
        <v>2</v>
      </c>
      <c r="J792" t="s">
        <v>26</v>
      </c>
      <c r="K792" t="s">
        <v>32</v>
      </c>
      <c r="L792" s="3">
        <v>50</v>
      </c>
      <c r="M792" s="3" t="str" cm="1">
        <f t="array" ref="M792">_xlfn.IFS(
L792&gt;=65,"Retirement Age",
AND(L792&lt;65,L792&gt;=40),"Middle Aged",
AND(L792&lt;40,L792&gt;=30),"In the 30s",
L792&lt;30,"Below 30")</f>
        <v>Middle Aged</v>
      </c>
      <c r="N792" t="s">
        <v>18</v>
      </c>
    </row>
    <row r="793" spans="1:14" x14ac:dyDescent="0.25">
      <c r="A793">
        <v>18363</v>
      </c>
      <c r="B793" t="s">
        <v>36</v>
      </c>
      <c r="C793" t="s">
        <v>38</v>
      </c>
      <c r="D793" s="1">
        <v>40000</v>
      </c>
      <c r="E793" s="3">
        <v>0</v>
      </c>
      <c r="F793" t="s">
        <v>27</v>
      </c>
      <c r="G793" t="s">
        <v>14</v>
      </c>
      <c r="H793" t="s">
        <v>15</v>
      </c>
      <c r="I793" s="3">
        <v>2</v>
      </c>
      <c r="J793" t="s">
        <v>23</v>
      </c>
      <c r="K793" t="s">
        <v>32</v>
      </c>
      <c r="L793" s="3">
        <v>28</v>
      </c>
      <c r="M793" s="3" t="str" cm="1">
        <f t="array" ref="M793">_xlfn.IFS(
L793&gt;=65,"Retirement Age",
AND(L793&lt;65,L793&gt;=40),"Middle Aged",
AND(L793&lt;40,L793&gt;=30),"In the 30s",
L793&lt;30,"Below 30")</f>
        <v>Below 30</v>
      </c>
      <c r="N793" t="s">
        <v>15</v>
      </c>
    </row>
    <row r="794" spans="1:14" x14ac:dyDescent="0.25">
      <c r="A794">
        <v>23256</v>
      </c>
      <c r="B794" t="s">
        <v>37</v>
      </c>
      <c r="C794" t="s">
        <v>38</v>
      </c>
      <c r="D794" s="1">
        <v>30000</v>
      </c>
      <c r="E794" s="3">
        <v>1</v>
      </c>
      <c r="F794" t="s">
        <v>27</v>
      </c>
      <c r="G794" t="s">
        <v>20</v>
      </c>
      <c r="H794" t="s">
        <v>18</v>
      </c>
      <c r="I794" s="3">
        <v>1</v>
      </c>
      <c r="J794" t="s">
        <v>23</v>
      </c>
      <c r="K794" t="s">
        <v>32</v>
      </c>
      <c r="L794" s="3">
        <v>52</v>
      </c>
      <c r="M794" s="3" t="str" cm="1">
        <f t="array" ref="M794">_xlfn.IFS(
L794&gt;=65,"Retirement Age",
AND(L794&lt;65,L794&gt;=40),"Middle Aged",
AND(L794&lt;40,L794&gt;=30),"In the 30s",
L794&lt;30,"Below 30")</f>
        <v>Middle Aged</v>
      </c>
      <c r="N794" t="s">
        <v>18</v>
      </c>
    </row>
    <row r="795" spans="1:14" x14ac:dyDescent="0.25">
      <c r="A795">
        <v>12768</v>
      </c>
      <c r="B795" t="s">
        <v>36</v>
      </c>
      <c r="C795" t="s">
        <v>38</v>
      </c>
      <c r="D795" s="1">
        <v>30000</v>
      </c>
      <c r="E795" s="3">
        <v>1</v>
      </c>
      <c r="F795" t="s">
        <v>27</v>
      </c>
      <c r="G795" t="s">
        <v>20</v>
      </c>
      <c r="H795" t="s">
        <v>15</v>
      </c>
      <c r="I795" s="3">
        <v>1</v>
      </c>
      <c r="J795" t="s">
        <v>22</v>
      </c>
      <c r="K795" t="s">
        <v>32</v>
      </c>
      <c r="L795" s="3">
        <v>52</v>
      </c>
      <c r="M795" s="3" t="str" cm="1">
        <f t="array" ref="M795">_xlfn.IFS(
L795&gt;=65,"Retirement Age",
AND(L795&lt;65,L795&gt;=40),"Middle Aged",
AND(L795&lt;40,L795&gt;=30),"In the 30s",
L795&lt;30,"Below 30")</f>
        <v>Middle Aged</v>
      </c>
      <c r="N795" t="s">
        <v>15</v>
      </c>
    </row>
    <row r="796" spans="1:14" x14ac:dyDescent="0.25">
      <c r="A796">
        <v>20361</v>
      </c>
      <c r="B796" t="s">
        <v>36</v>
      </c>
      <c r="C796" t="s">
        <v>38</v>
      </c>
      <c r="D796" s="1">
        <v>50000</v>
      </c>
      <c r="E796" s="3">
        <v>2</v>
      </c>
      <c r="F796" t="s">
        <v>31</v>
      </c>
      <c r="G796" t="s">
        <v>28</v>
      </c>
      <c r="H796" t="s">
        <v>15</v>
      </c>
      <c r="I796" s="3">
        <v>2</v>
      </c>
      <c r="J796" t="s">
        <v>23</v>
      </c>
      <c r="K796" t="s">
        <v>32</v>
      </c>
      <c r="L796" s="3">
        <v>69</v>
      </c>
      <c r="M796" s="3" t="str" cm="1">
        <f t="array" ref="M796">_xlfn.IFS(
L796&gt;=65,"Retirement Age",
AND(L796&lt;65,L796&gt;=40),"Middle Aged",
AND(L796&lt;40,L796&gt;=30),"In the 30s",
L796&lt;30,"Below 30")</f>
        <v>Retirement Age</v>
      </c>
      <c r="N796" t="s">
        <v>18</v>
      </c>
    </row>
    <row r="797" spans="1:14" x14ac:dyDescent="0.25">
      <c r="A797">
        <v>21306</v>
      </c>
      <c r="B797" t="s">
        <v>37</v>
      </c>
      <c r="C797" t="s">
        <v>38</v>
      </c>
      <c r="D797" s="1">
        <v>60000</v>
      </c>
      <c r="E797" s="3">
        <v>2</v>
      </c>
      <c r="F797" t="s">
        <v>27</v>
      </c>
      <c r="G797" t="s">
        <v>21</v>
      </c>
      <c r="H797" t="s">
        <v>15</v>
      </c>
      <c r="I797" s="3">
        <v>2</v>
      </c>
      <c r="J797" t="s">
        <v>23</v>
      </c>
      <c r="K797" t="s">
        <v>32</v>
      </c>
      <c r="L797" s="3">
        <v>51</v>
      </c>
      <c r="M797" s="3" t="str" cm="1">
        <f t="array" ref="M797">_xlfn.IFS(
L797&gt;=65,"Retirement Age",
AND(L797&lt;65,L797&gt;=40),"Middle Aged",
AND(L797&lt;40,L797&gt;=30),"In the 30s",
L797&lt;30,"Below 30")</f>
        <v>Middle Aged</v>
      </c>
      <c r="N797" t="s">
        <v>18</v>
      </c>
    </row>
    <row r="798" spans="1:14" x14ac:dyDescent="0.25">
      <c r="A798">
        <v>13382</v>
      </c>
      <c r="B798" t="s">
        <v>36</v>
      </c>
      <c r="C798" t="s">
        <v>38</v>
      </c>
      <c r="D798" s="1">
        <v>70000</v>
      </c>
      <c r="E798" s="3">
        <v>5</v>
      </c>
      <c r="F798" t="s">
        <v>19</v>
      </c>
      <c r="G798" t="s">
        <v>21</v>
      </c>
      <c r="H798" t="s">
        <v>15</v>
      </c>
      <c r="I798" s="3">
        <v>2</v>
      </c>
      <c r="J798" t="s">
        <v>26</v>
      </c>
      <c r="K798" t="s">
        <v>32</v>
      </c>
      <c r="L798" s="3">
        <v>57</v>
      </c>
      <c r="M798" s="3" t="str" cm="1">
        <f t="array" ref="M798">_xlfn.IFS(
L798&gt;=65,"Retirement Age",
AND(L798&lt;65,L798&gt;=40),"Middle Aged",
AND(L798&lt;40,L798&gt;=30),"In the 30s",
L798&lt;30,"Below 30")</f>
        <v>Middle Aged</v>
      </c>
      <c r="N798" t="s">
        <v>15</v>
      </c>
    </row>
    <row r="799" spans="1:14" x14ac:dyDescent="0.25">
      <c r="A799">
        <v>20310</v>
      </c>
      <c r="B799" t="s">
        <v>37</v>
      </c>
      <c r="C799" t="s">
        <v>38</v>
      </c>
      <c r="D799" s="1">
        <v>60000</v>
      </c>
      <c r="E799" s="3">
        <v>0</v>
      </c>
      <c r="F799" t="s">
        <v>19</v>
      </c>
      <c r="G799" t="s">
        <v>14</v>
      </c>
      <c r="H799" t="s">
        <v>15</v>
      </c>
      <c r="I799" s="3">
        <v>1</v>
      </c>
      <c r="J799" t="s">
        <v>23</v>
      </c>
      <c r="K799" t="s">
        <v>32</v>
      </c>
      <c r="L799" s="3">
        <v>27</v>
      </c>
      <c r="M799" s="3" t="str" cm="1">
        <f t="array" ref="M799">_xlfn.IFS(
L799&gt;=65,"Retirement Age",
AND(L799&lt;65,L799&gt;=40),"Middle Aged",
AND(L799&lt;40,L799&gt;=30),"In the 30s",
L799&lt;30,"Below 30")</f>
        <v>Below 30</v>
      </c>
      <c r="N799" t="s">
        <v>15</v>
      </c>
    </row>
    <row r="800" spans="1:14" x14ac:dyDescent="0.25">
      <c r="A800">
        <v>22971</v>
      </c>
      <c r="B800" t="s">
        <v>37</v>
      </c>
      <c r="C800" t="s">
        <v>39</v>
      </c>
      <c r="D800" s="1">
        <v>30000</v>
      </c>
      <c r="E800" s="3">
        <v>0</v>
      </c>
      <c r="F800" t="s">
        <v>27</v>
      </c>
      <c r="G800" t="s">
        <v>14</v>
      </c>
      <c r="H800" t="s">
        <v>18</v>
      </c>
      <c r="I800" s="3">
        <v>2</v>
      </c>
      <c r="J800" t="s">
        <v>16</v>
      </c>
      <c r="K800" t="s">
        <v>32</v>
      </c>
      <c r="L800" s="3">
        <v>25</v>
      </c>
      <c r="M800" s="3" t="str" cm="1">
        <f t="array" ref="M800">_xlfn.IFS(
L800&gt;=65,"Retirement Age",
AND(L800&lt;65,L800&gt;=40),"Middle Aged",
AND(L800&lt;40,L800&gt;=30),"In the 30s",
L800&lt;30,"Below 30")</f>
        <v>Below 30</v>
      </c>
      <c r="N800" t="s">
        <v>15</v>
      </c>
    </row>
    <row r="801" spans="1:14" x14ac:dyDescent="0.25">
      <c r="A801">
        <v>15287</v>
      </c>
      <c r="B801" t="s">
        <v>37</v>
      </c>
      <c r="C801" t="s">
        <v>39</v>
      </c>
      <c r="D801" s="1">
        <v>50000</v>
      </c>
      <c r="E801" s="3">
        <v>1</v>
      </c>
      <c r="F801" t="s">
        <v>31</v>
      </c>
      <c r="G801" t="s">
        <v>14</v>
      </c>
      <c r="H801" t="s">
        <v>15</v>
      </c>
      <c r="I801" s="3">
        <v>0</v>
      </c>
      <c r="J801" t="s">
        <v>26</v>
      </c>
      <c r="K801" t="s">
        <v>32</v>
      </c>
      <c r="L801" s="3">
        <v>33</v>
      </c>
      <c r="M801" s="3" t="str" cm="1">
        <f t="array" ref="M801">_xlfn.IFS(
L801&gt;=65,"Retirement Age",
AND(L801&lt;65,L801&gt;=40),"Middle Aged",
AND(L801&lt;40,L801&gt;=30),"In the 30s",
L801&lt;30,"Below 30")</f>
        <v>In the 30s</v>
      </c>
      <c r="N801" t="s">
        <v>15</v>
      </c>
    </row>
    <row r="802" spans="1:14" x14ac:dyDescent="0.25">
      <c r="A802">
        <v>15532</v>
      </c>
      <c r="B802" t="s">
        <v>37</v>
      </c>
      <c r="C802" t="s">
        <v>38</v>
      </c>
      <c r="D802" s="1">
        <v>60000</v>
      </c>
      <c r="E802" s="3">
        <v>4</v>
      </c>
      <c r="F802" t="s">
        <v>13</v>
      </c>
      <c r="G802" t="s">
        <v>21</v>
      </c>
      <c r="H802" t="s">
        <v>15</v>
      </c>
      <c r="I802" s="3">
        <v>2</v>
      </c>
      <c r="J802" t="s">
        <v>22</v>
      </c>
      <c r="K802" t="s">
        <v>32</v>
      </c>
      <c r="L802" s="3">
        <v>43</v>
      </c>
      <c r="M802" s="3" t="str" cm="1">
        <f t="array" ref="M802">_xlfn.IFS(
L802&gt;=65,"Retirement Age",
AND(L802&lt;65,L802&gt;=40),"Middle Aged",
AND(L802&lt;40,L802&gt;=30),"In the 30s",
L802&lt;30,"Below 30")</f>
        <v>Middle Aged</v>
      </c>
      <c r="N802" t="s">
        <v>15</v>
      </c>
    </row>
    <row r="803" spans="1:14" x14ac:dyDescent="0.25">
      <c r="A803">
        <v>11255</v>
      </c>
      <c r="B803" t="s">
        <v>36</v>
      </c>
      <c r="C803" t="s">
        <v>38</v>
      </c>
      <c r="D803" s="1">
        <v>70000</v>
      </c>
      <c r="E803" s="3">
        <v>4</v>
      </c>
      <c r="F803" t="s">
        <v>31</v>
      </c>
      <c r="G803" t="s">
        <v>28</v>
      </c>
      <c r="H803" t="s">
        <v>15</v>
      </c>
      <c r="I803" s="3">
        <v>2</v>
      </c>
      <c r="J803" t="s">
        <v>23</v>
      </c>
      <c r="K803" t="s">
        <v>32</v>
      </c>
      <c r="L803" s="3">
        <v>73</v>
      </c>
      <c r="M803" s="3" t="str" cm="1">
        <f t="array" ref="M803">_xlfn.IFS(
L803&gt;=65,"Retirement Age",
AND(L803&lt;65,L803&gt;=40),"Middle Aged",
AND(L803&lt;40,L803&gt;=30),"In the 30s",
L803&lt;30,"Below 30")</f>
        <v>Retirement Age</v>
      </c>
      <c r="N803" t="s">
        <v>18</v>
      </c>
    </row>
    <row r="804" spans="1:14" x14ac:dyDescent="0.25">
      <c r="A804">
        <v>28090</v>
      </c>
      <c r="B804" t="s">
        <v>36</v>
      </c>
      <c r="C804" t="s">
        <v>38</v>
      </c>
      <c r="D804" s="1">
        <v>40000</v>
      </c>
      <c r="E804" s="3">
        <v>0</v>
      </c>
      <c r="F804" t="s">
        <v>19</v>
      </c>
      <c r="G804" t="s">
        <v>14</v>
      </c>
      <c r="H804" t="s">
        <v>15</v>
      </c>
      <c r="I804" s="3">
        <v>1</v>
      </c>
      <c r="J804" t="s">
        <v>23</v>
      </c>
      <c r="K804" t="s">
        <v>32</v>
      </c>
      <c r="L804" s="3">
        <v>27</v>
      </c>
      <c r="M804" s="3" t="str" cm="1">
        <f t="array" ref="M804">_xlfn.IFS(
L804&gt;=65,"Retirement Age",
AND(L804&lt;65,L804&gt;=40),"Middle Aged",
AND(L804&lt;40,L804&gt;=30),"In the 30s",
L804&lt;30,"Below 30")</f>
        <v>Below 30</v>
      </c>
      <c r="N804" t="s">
        <v>18</v>
      </c>
    </row>
    <row r="805" spans="1:14" x14ac:dyDescent="0.25">
      <c r="A805">
        <v>15255</v>
      </c>
      <c r="B805" t="s">
        <v>36</v>
      </c>
      <c r="C805" t="s">
        <v>38</v>
      </c>
      <c r="D805" s="1">
        <v>40000</v>
      </c>
      <c r="E805" s="3">
        <v>0</v>
      </c>
      <c r="F805" t="s">
        <v>27</v>
      </c>
      <c r="G805" t="s">
        <v>14</v>
      </c>
      <c r="H805" t="s">
        <v>15</v>
      </c>
      <c r="I805" s="3">
        <v>2</v>
      </c>
      <c r="J805" t="s">
        <v>23</v>
      </c>
      <c r="K805" t="s">
        <v>32</v>
      </c>
      <c r="L805" s="3">
        <v>28</v>
      </c>
      <c r="M805" s="3" t="str" cm="1">
        <f t="array" ref="M805">_xlfn.IFS(
L805&gt;=65,"Retirement Age",
AND(L805&lt;65,L805&gt;=40),"Middle Aged",
AND(L805&lt;40,L805&gt;=30),"In the 30s",
L805&lt;30,"Below 30")</f>
        <v>Below 30</v>
      </c>
      <c r="N805" t="s">
        <v>15</v>
      </c>
    </row>
    <row r="806" spans="1:14" x14ac:dyDescent="0.25">
      <c r="A806">
        <v>13154</v>
      </c>
      <c r="B806" t="s">
        <v>36</v>
      </c>
      <c r="C806" t="s">
        <v>38</v>
      </c>
      <c r="D806" s="1">
        <v>40000</v>
      </c>
      <c r="E806" s="3">
        <v>0</v>
      </c>
      <c r="F806" t="s">
        <v>27</v>
      </c>
      <c r="G806" t="s">
        <v>14</v>
      </c>
      <c r="H806" t="s">
        <v>18</v>
      </c>
      <c r="I806" s="3">
        <v>2</v>
      </c>
      <c r="J806" t="s">
        <v>16</v>
      </c>
      <c r="K806" t="s">
        <v>32</v>
      </c>
      <c r="L806" s="3">
        <v>27</v>
      </c>
      <c r="M806" s="3" t="str" cm="1">
        <f t="array" ref="M806">_xlfn.IFS(
L806&gt;=65,"Retirement Age",
AND(L806&lt;65,L806&gt;=40),"Middle Aged",
AND(L806&lt;40,L806&gt;=30),"In the 30s",
L806&lt;30,"Below 30")</f>
        <v>Below 30</v>
      </c>
      <c r="N806" t="s">
        <v>15</v>
      </c>
    </row>
    <row r="807" spans="1:14" x14ac:dyDescent="0.25">
      <c r="A807">
        <v>26778</v>
      </c>
      <c r="B807" t="s">
        <v>37</v>
      </c>
      <c r="C807" t="s">
        <v>39</v>
      </c>
      <c r="D807" s="1">
        <v>40000</v>
      </c>
      <c r="E807" s="3">
        <v>0</v>
      </c>
      <c r="F807" t="s">
        <v>27</v>
      </c>
      <c r="G807" t="s">
        <v>14</v>
      </c>
      <c r="H807" t="s">
        <v>15</v>
      </c>
      <c r="I807" s="3">
        <v>2</v>
      </c>
      <c r="J807" t="s">
        <v>23</v>
      </c>
      <c r="K807" t="s">
        <v>32</v>
      </c>
      <c r="L807" s="3">
        <v>31</v>
      </c>
      <c r="M807" s="3" t="str" cm="1">
        <f t="array" ref="M807">_xlfn.IFS(
L807&gt;=65,"Retirement Age",
AND(L807&lt;65,L807&gt;=40),"Middle Aged",
AND(L807&lt;40,L807&gt;=30),"In the 30s",
L807&lt;30,"Below 30")</f>
        <v>In the 30s</v>
      </c>
      <c r="N807" t="s">
        <v>18</v>
      </c>
    </row>
    <row r="808" spans="1:14" x14ac:dyDescent="0.25">
      <c r="A808">
        <v>23248</v>
      </c>
      <c r="B808" t="s">
        <v>36</v>
      </c>
      <c r="C808" t="s">
        <v>39</v>
      </c>
      <c r="D808" s="1">
        <v>10000</v>
      </c>
      <c r="E808" s="3">
        <v>2</v>
      </c>
      <c r="F808" t="s">
        <v>27</v>
      </c>
      <c r="G808" t="s">
        <v>25</v>
      </c>
      <c r="H808" t="s">
        <v>15</v>
      </c>
      <c r="I808" s="3">
        <v>2</v>
      </c>
      <c r="J808" t="s">
        <v>26</v>
      </c>
      <c r="K808" t="s">
        <v>32</v>
      </c>
      <c r="L808" s="3">
        <v>53</v>
      </c>
      <c r="M808" s="3" t="str" cm="1">
        <f t="array" ref="M808">_xlfn.IFS(
L808&gt;=65,"Retirement Age",
AND(L808&lt;65,L808&gt;=40),"Middle Aged",
AND(L808&lt;40,L808&gt;=30),"In the 30s",
L808&lt;30,"Below 30")</f>
        <v>Middle Aged</v>
      </c>
      <c r="N808" t="s">
        <v>18</v>
      </c>
    </row>
    <row r="809" spans="1:14" x14ac:dyDescent="0.25">
      <c r="A809">
        <v>21417</v>
      </c>
      <c r="B809" t="s">
        <v>37</v>
      </c>
      <c r="C809" t="s">
        <v>39</v>
      </c>
      <c r="D809" s="1">
        <v>60000</v>
      </c>
      <c r="E809" s="3">
        <v>0</v>
      </c>
      <c r="F809" t="s">
        <v>19</v>
      </c>
      <c r="G809" t="s">
        <v>21</v>
      </c>
      <c r="H809" t="s">
        <v>18</v>
      </c>
      <c r="I809" s="3">
        <v>2</v>
      </c>
      <c r="J809" t="s">
        <v>26</v>
      </c>
      <c r="K809" t="s">
        <v>32</v>
      </c>
      <c r="L809" s="3">
        <v>32</v>
      </c>
      <c r="M809" s="3" t="str" cm="1">
        <f t="array" ref="M809">_xlfn.IFS(
L809&gt;=65,"Retirement Age",
AND(L809&lt;65,L809&gt;=40),"Middle Aged",
AND(L809&lt;40,L809&gt;=30),"In the 30s",
L809&lt;30,"Below 30")</f>
        <v>In the 30s</v>
      </c>
      <c r="N809" t="s">
        <v>15</v>
      </c>
    </row>
    <row r="810" spans="1:14" x14ac:dyDescent="0.25">
      <c r="A810">
        <v>17668</v>
      </c>
      <c r="B810" t="s">
        <v>37</v>
      </c>
      <c r="C810" t="s">
        <v>38</v>
      </c>
      <c r="D810" s="1">
        <v>30000</v>
      </c>
      <c r="E810" s="3">
        <v>2</v>
      </c>
      <c r="F810" t="s">
        <v>27</v>
      </c>
      <c r="G810" t="s">
        <v>14</v>
      </c>
      <c r="H810" t="s">
        <v>15</v>
      </c>
      <c r="I810" s="3">
        <v>2</v>
      </c>
      <c r="J810" t="s">
        <v>26</v>
      </c>
      <c r="K810" t="s">
        <v>32</v>
      </c>
      <c r="L810" s="3">
        <v>50</v>
      </c>
      <c r="M810" s="3" t="str" cm="1">
        <f t="array" ref="M810">_xlfn.IFS(
L810&gt;=65,"Retirement Age",
AND(L810&lt;65,L810&gt;=40),"Middle Aged",
AND(L810&lt;40,L810&gt;=30),"In the 30s",
L810&lt;30,"Below 30")</f>
        <v>Middle Aged</v>
      </c>
      <c r="N810" t="s">
        <v>15</v>
      </c>
    </row>
    <row r="811" spans="1:14" x14ac:dyDescent="0.25">
      <c r="A811">
        <v>27994</v>
      </c>
      <c r="B811" t="s">
        <v>36</v>
      </c>
      <c r="C811" t="s">
        <v>39</v>
      </c>
      <c r="D811" s="1">
        <v>40000</v>
      </c>
      <c r="E811" s="3">
        <v>4</v>
      </c>
      <c r="F811" t="s">
        <v>27</v>
      </c>
      <c r="G811" t="s">
        <v>21</v>
      </c>
      <c r="H811" t="s">
        <v>15</v>
      </c>
      <c r="I811" s="3">
        <v>2</v>
      </c>
      <c r="J811" t="s">
        <v>23</v>
      </c>
      <c r="K811" t="s">
        <v>32</v>
      </c>
      <c r="L811" s="3">
        <v>69</v>
      </c>
      <c r="M811" s="3" t="str" cm="1">
        <f t="array" ref="M811">_xlfn.IFS(
L811&gt;=65,"Retirement Age",
AND(L811&lt;65,L811&gt;=40),"Middle Aged",
AND(L811&lt;40,L811&gt;=30),"In the 30s",
L811&lt;30,"Below 30")</f>
        <v>Retirement Age</v>
      </c>
      <c r="N811" t="s">
        <v>18</v>
      </c>
    </row>
    <row r="812" spans="1:14" x14ac:dyDescent="0.25">
      <c r="A812">
        <v>20376</v>
      </c>
      <c r="B812" t="s">
        <v>37</v>
      </c>
      <c r="C812" t="s">
        <v>39</v>
      </c>
      <c r="D812" s="1">
        <v>70000</v>
      </c>
      <c r="E812" s="3">
        <v>3</v>
      </c>
      <c r="F812" t="s">
        <v>31</v>
      </c>
      <c r="G812" t="s">
        <v>28</v>
      </c>
      <c r="H812" t="s">
        <v>15</v>
      </c>
      <c r="I812" s="3">
        <v>2</v>
      </c>
      <c r="J812" t="s">
        <v>23</v>
      </c>
      <c r="K812" t="s">
        <v>32</v>
      </c>
      <c r="L812" s="3">
        <v>52</v>
      </c>
      <c r="M812" s="3" t="str" cm="1">
        <f t="array" ref="M812">_xlfn.IFS(
L812&gt;=65,"Retirement Age",
AND(L812&lt;65,L812&gt;=40),"Middle Aged",
AND(L812&lt;40,L812&gt;=30),"In the 30s",
L812&lt;30,"Below 30")</f>
        <v>Middle Aged</v>
      </c>
      <c r="N812" t="s">
        <v>15</v>
      </c>
    </row>
    <row r="813" spans="1:14" x14ac:dyDescent="0.25">
      <c r="A813">
        <v>25954</v>
      </c>
      <c r="B813" t="s">
        <v>36</v>
      </c>
      <c r="C813" t="s">
        <v>38</v>
      </c>
      <c r="D813" s="1">
        <v>60000</v>
      </c>
      <c r="E813" s="3">
        <v>0</v>
      </c>
      <c r="F813" t="s">
        <v>19</v>
      </c>
      <c r="G813" t="s">
        <v>14</v>
      </c>
      <c r="H813" t="s">
        <v>18</v>
      </c>
      <c r="I813" s="3">
        <v>2</v>
      </c>
      <c r="J813" t="s">
        <v>26</v>
      </c>
      <c r="K813" t="s">
        <v>32</v>
      </c>
      <c r="L813" s="3">
        <v>31</v>
      </c>
      <c r="M813" s="3" t="str" cm="1">
        <f t="array" ref="M813">_xlfn.IFS(
L813&gt;=65,"Retirement Age",
AND(L813&lt;65,L813&gt;=40),"Middle Aged",
AND(L813&lt;40,L813&gt;=30),"In the 30s",
L813&lt;30,"Below 30")</f>
        <v>In the 30s</v>
      </c>
      <c r="N813" t="s">
        <v>18</v>
      </c>
    </row>
    <row r="814" spans="1:14" x14ac:dyDescent="0.25">
      <c r="A814">
        <v>15749</v>
      </c>
      <c r="B814" t="s">
        <v>37</v>
      </c>
      <c r="C814" t="s">
        <v>39</v>
      </c>
      <c r="D814" s="1">
        <v>70000</v>
      </c>
      <c r="E814" s="3">
        <v>4</v>
      </c>
      <c r="F814" t="s">
        <v>13</v>
      </c>
      <c r="G814" t="s">
        <v>28</v>
      </c>
      <c r="H814" t="s">
        <v>15</v>
      </c>
      <c r="I814" s="3">
        <v>2</v>
      </c>
      <c r="J814" t="s">
        <v>45</v>
      </c>
      <c r="K814" t="s">
        <v>32</v>
      </c>
      <c r="L814" s="3">
        <v>61</v>
      </c>
      <c r="M814" s="3" t="str" cm="1">
        <f t="array" ref="M814">_xlfn.IFS(
L814&gt;=65,"Retirement Age",
AND(L814&lt;65,L814&gt;=40),"Middle Aged",
AND(L814&lt;40,L814&gt;=30),"In the 30s",
L814&lt;30,"Below 30")</f>
        <v>Middle Aged</v>
      </c>
      <c r="N814" t="s">
        <v>18</v>
      </c>
    </row>
    <row r="815" spans="1:14" x14ac:dyDescent="0.25">
      <c r="A815">
        <v>25899</v>
      </c>
      <c r="B815" t="s">
        <v>36</v>
      </c>
      <c r="C815" t="s">
        <v>39</v>
      </c>
      <c r="D815" s="1">
        <v>70000</v>
      </c>
      <c r="E815" s="3">
        <v>2</v>
      </c>
      <c r="F815" t="s">
        <v>27</v>
      </c>
      <c r="G815" t="s">
        <v>21</v>
      </c>
      <c r="H815" t="s">
        <v>15</v>
      </c>
      <c r="I815" s="3">
        <v>2</v>
      </c>
      <c r="J815" t="s">
        <v>45</v>
      </c>
      <c r="K815" t="s">
        <v>32</v>
      </c>
      <c r="L815" s="3">
        <v>53</v>
      </c>
      <c r="M815" s="3" t="str" cm="1">
        <f t="array" ref="M815">_xlfn.IFS(
L815&gt;=65,"Retirement Age",
AND(L815&lt;65,L815&gt;=40),"Middle Aged",
AND(L815&lt;40,L815&gt;=30),"In the 30s",
L815&lt;30,"Below 30")</f>
        <v>Middle Aged</v>
      </c>
      <c r="N815" t="s">
        <v>18</v>
      </c>
    </row>
    <row r="816" spans="1:14" x14ac:dyDescent="0.25">
      <c r="A816">
        <v>13351</v>
      </c>
      <c r="B816" t="s">
        <v>37</v>
      </c>
      <c r="C816" t="s">
        <v>39</v>
      </c>
      <c r="D816" s="1">
        <v>70000</v>
      </c>
      <c r="E816" s="3">
        <v>4</v>
      </c>
      <c r="F816" t="s">
        <v>13</v>
      </c>
      <c r="G816" t="s">
        <v>28</v>
      </c>
      <c r="H816" t="s">
        <v>15</v>
      </c>
      <c r="I816" s="3">
        <v>2</v>
      </c>
      <c r="J816" t="s">
        <v>26</v>
      </c>
      <c r="K816" t="s">
        <v>32</v>
      </c>
      <c r="L816" s="3">
        <v>62</v>
      </c>
      <c r="M816" s="3" t="str" cm="1">
        <f t="array" ref="M816">_xlfn.IFS(
L816&gt;=65,"Retirement Age",
AND(L816&lt;65,L816&gt;=40),"Middle Aged",
AND(L816&lt;40,L816&gt;=30),"In the 30s",
L816&lt;30,"Below 30")</f>
        <v>Middle Aged</v>
      </c>
      <c r="N816" t="s">
        <v>15</v>
      </c>
    </row>
    <row r="817" spans="1:14" x14ac:dyDescent="0.25">
      <c r="A817">
        <v>23333</v>
      </c>
      <c r="B817" t="s">
        <v>36</v>
      </c>
      <c r="C817" t="s">
        <v>38</v>
      </c>
      <c r="D817" s="1">
        <v>40000</v>
      </c>
      <c r="E817" s="3">
        <v>0</v>
      </c>
      <c r="F817" t="s">
        <v>19</v>
      </c>
      <c r="G817" t="s">
        <v>14</v>
      </c>
      <c r="H817" t="s">
        <v>18</v>
      </c>
      <c r="I817" s="3">
        <v>2</v>
      </c>
      <c r="J817" t="s">
        <v>26</v>
      </c>
      <c r="K817" t="s">
        <v>32</v>
      </c>
      <c r="L817" s="3">
        <v>30</v>
      </c>
      <c r="M817" s="3" t="str" cm="1">
        <f t="array" ref="M817">_xlfn.IFS(
L817&gt;=65,"Retirement Age",
AND(L817&lt;65,L817&gt;=40),"Middle Aged",
AND(L817&lt;40,L817&gt;=30),"In the 30s",
L817&lt;30,"Below 30")</f>
        <v>In the 30s</v>
      </c>
      <c r="N817" t="s">
        <v>18</v>
      </c>
    </row>
    <row r="818" spans="1:14" x14ac:dyDescent="0.25">
      <c r="A818">
        <v>21660</v>
      </c>
      <c r="B818" t="s">
        <v>36</v>
      </c>
      <c r="C818" t="s">
        <v>39</v>
      </c>
      <c r="D818" s="1">
        <v>60000</v>
      </c>
      <c r="E818" s="3">
        <v>3</v>
      </c>
      <c r="F818" t="s">
        <v>31</v>
      </c>
      <c r="G818" t="s">
        <v>21</v>
      </c>
      <c r="H818" t="s">
        <v>15</v>
      </c>
      <c r="I818" s="3">
        <v>0</v>
      </c>
      <c r="J818" t="s">
        <v>22</v>
      </c>
      <c r="K818" t="s">
        <v>32</v>
      </c>
      <c r="L818" s="3">
        <v>43</v>
      </c>
      <c r="M818" s="3" t="str" cm="1">
        <f t="array" ref="M818">_xlfn.IFS(
L818&gt;=65,"Retirement Age",
AND(L818&lt;65,L818&gt;=40),"Middle Aged",
AND(L818&lt;40,L818&gt;=30),"In the 30s",
L818&lt;30,"Below 30")</f>
        <v>Middle Aged</v>
      </c>
      <c r="N818" t="s">
        <v>15</v>
      </c>
    </row>
    <row r="819" spans="1:14" x14ac:dyDescent="0.25">
      <c r="A819">
        <v>17012</v>
      </c>
      <c r="B819" t="s">
        <v>36</v>
      </c>
      <c r="C819" t="s">
        <v>39</v>
      </c>
      <c r="D819" s="1">
        <v>60000</v>
      </c>
      <c r="E819" s="3">
        <v>3</v>
      </c>
      <c r="F819" t="s">
        <v>31</v>
      </c>
      <c r="G819" t="s">
        <v>21</v>
      </c>
      <c r="H819" t="s">
        <v>15</v>
      </c>
      <c r="I819" s="3">
        <v>0</v>
      </c>
      <c r="J819" t="s">
        <v>22</v>
      </c>
      <c r="K819" t="s">
        <v>32</v>
      </c>
      <c r="L819" s="3">
        <v>42</v>
      </c>
      <c r="M819" s="3" t="str" cm="1">
        <f t="array" ref="M819">_xlfn.IFS(
L819&gt;=65,"Retirement Age",
AND(L819&lt;65,L819&gt;=40),"Middle Aged",
AND(L819&lt;40,L819&gt;=30),"In the 30s",
L819&lt;30,"Below 30")</f>
        <v>Middle Aged</v>
      </c>
      <c r="N819" t="s">
        <v>15</v>
      </c>
    </row>
    <row r="820" spans="1:14" x14ac:dyDescent="0.25">
      <c r="A820">
        <v>24514</v>
      </c>
      <c r="B820" t="s">
        <v>36</v>
      </c>
      <c r="C820" t="s">
        <v>38</v>
      </c>
      <c r="D820" s="1">
        <v>40000</v>
      </c>
      <c r="E820" s="3">
        <v>0</v>
      </c>
      <c r="F820" t="s">
        <v>19</v>
      </c>
      <c r="G820" t="s">
        <v>14</v>
      </c>
      <c r="H820" t="s">
        <v>15</v>
      </c>
      <c r="I820" s="3">
        <v>1</v>
      </c>
      <c r="J820" t="s">
        <v>23</v>
      </c>
      <c r="K820" t="s">
        <v>32</v>
      </c>
      <c r="L820" s="3">
        <v>30</v>
      </c>
      <c r="M820" s="3" t="str" cm="1">
        <f t="array" ref="M820">_xlfn.IFS(
L820&gt;=65,"Retirement Age",
AND(L820&lt;65,L820&gt;=40),"Middle Aged",
AND(L820&lt;40,L820&gt;=30),"In the 30s",
L820&lt;30,"Below 30")</f>
        <v>In the 30s</v>
      </c>
      <c r="N820" t="s">
        <v>18</v>
      </c>
    </row>
    <row r="821" spans="1:14" x14ac:dyDescent="0.25">
      <c r="A821">
        <v>27505</v>
      </c>
      <c r="B821" t="s">
        <v>37</v>
      </c>
      <c r="C821" t="s">
        <v>39</v>
      </c>
      <c r="D821" s="1">
        <v>40000</v>
      </c>
      <c r="E821" s="3">
        <v>0</v>
      </c>
      <c r="F821" t="s">
        <v>27</v>
      </c>
      <c r="G821" t="s">
        <v>14</v>
      </c>
      <c r="H821" t="s">
        <v>15</v>
      </c>
      <c r="I821" s="3">
        <v>2</v>
      </c>
      <c r="J821" t="s">
        <v>23</v>
      </c>
      <c r="K821" t="s">
        <v>32</v>
      </c>
      <c r="L821" s="3">
        <v>30</v>
      </c>
      <c r="M821" s="3" t="str" cm="1">
        <f t="array" ref="M821">_xlfn.IFS(
L821&gt;=65,"Retirement Age",
AND(L821&lt;65,L821&gt;=40),"Middle Aged",
AND(L821&lt;40,L821&gt;=30),"In the 30s",
L821&lt;30,"Below 30")</f>
        <v>In the 30s</v>
      </c>
      <c r="N821" t="s">
        <v>18</v>
      </c>
    </row>
    <row r="822" spans="1:14" x14ac:dyDescent="0.25">
      <c r="A822">
        <v>29243</v>
      </c>
      <c r="B822" t="s">
        <v>37</v>
      </c>
      <c r="C822" t="s">
        <v>38</v>
      </c>
      <c r="D822" s="1">
        <v>110000</v>
      </c>
      <c r="E822" s="3">
        <v>1</v>
      </c>
      <c r="F822" t="s">
        <v>13</v>
      </c>
      <c r="G822" t="s">
        <v>28</v>
      </c>
      <c r="H822" t="s">
        <v>15</v>
      </c>
      <c r="I822" s="3">
        <v>1</v>
      </c>
      <c r="J822" t="s">
        <v>23</v>
      </c>
      <c r="K822" t="s">
        <v>32</v>
      </c>
      <c r="L822" s="3">
        <v>43</v>
      </c>
      <c r="M822" s="3" t="str" cm="1">
        <f t="array" ref="M822">_xlfn.IFS(
L822&gt;=65,"Retirement Age",
AND(L822&lt;65,L822&gt;=40),"Middle Aged",
AND(L822&lt;40,L822&gt;=30),"In the 30s",
L822&lt;30,"Below 30")</f>
        <v>Middle Aged</v>
      </c>
      <c r="N822" t="s">
        <v>18</v>
      </c>
    </row>
    <row r="823" spans="1:14" x14ac:dyDescent="0.25">
      <c r="A823">
        <v>26582</v>
      </c>
      <c r="B823" t="s">
        <v>36</v>
      </c>
      <c r="C823" t="s">
        <v>38</v>
      </c>
      <c r="D823" s="1">
        <v>60000</v>
      </c>
      <c r="E823" s="3">
        <v>0</v>
      </c>
      <c r="F823" t="s">
        <v>19</v>
      </c>
      <c r="G823" t="s">
        <v>14</v>
      </c>
      <c r="H823" t="s">
        <v>15</v>
      </c>
      <c r="I823" s="3">
        <v>2</v>
      </c>
      <c r="J823" t="s">
        <v>23</v>
      </c>
      <c r="K823" t="s">
        <v>32</v>
      </c>
      <c r="L823" s="3">
        <v>33</v>
      </c>
      <c r="M823" s="3" t="str" cm="1">
        <f t="array" ref="M823">_xlfn.IFS(
L823&gt;=65,"Retirement Age",
AND(L823&lt;65,L823&gt;=40),"Middle Aged",
AND(L823&lt;40,L823&gt;=30),"In the 30s",
L823&lt;30,"Below 30")</f>
        <v>In the 30s</v>
      </c>
      <c r="N823" t="s">
        <v>15</v>
      </c>
    </row>
    <row r="824" spans="1:14" x14ac:dyDescent="0.25">
      <c r="A824">
        <v>14271</v>
      </c>
      <c r="B824" t="s">
        <v>36</v>
      </c>
      <c r="C824" t="s">
        <v>38</v>
      </c>
      <c r="D824" s="1">
        <v>30000</v>
      </c>
      <c r="E824" s="3">
        <v>0</v>
      </c>
      <c r="F824" t="s">
        <v>27</v>
      </c>
      <c r="G824" t="s">
        <v>14</v>
      </c>
      <c r="H824" t="s">
        <v>15</v>
      </c>
      <c r="I824" s="3">
        <v>2</v>
      </c>
      <c r="J824" t="s">
        <v>23</v>
      </c>
      <c r="K824" t="s">
        <v>32</v>
      </c>
      <c r="L824" s="3">
        <v>32</v>
      </c>
      <c r="M824" s="3" t="str" cm="1">
        <f t="array" ref="M824">_xlfn.IFS(
L824&gt;=65,"Retirement Age",
AND(L824&lt;65,L824&gt;=40),"Middle Aged",
AND(L824&lt;40,L824&gt;=30),"In the 30s",
L824&lt;30,"Below 30")</f>
        <v>In the 30s</v>
      </c>
      <c r="N824" t="s">
        <v>18</v>
      </c>
    </row>
    <row r="825" spans="1:14" x14ac:dyDescent="0.25">
      <c r="A825">
        <v>23041</v>
      </c>
      <c r="B825" t="s">
        <v>37</v>
      </c>
      <c r="C825" t="s">
        <v>39</v>
      </c>
      <c r="D825" s="1">
        <v>70000</v>
      </c>
      <c r="E825" s="3">
        <v>4</v>
      </c>
      <c r="F825" t="s">
        <v>27</v>
      </c>
      <c r="G825" t="s">
        <v>21</v>
      </c>
      <c r="H825" t="s">
        <v>15</v>
      </c>
      <c r="I825" s="3">
        <v>0</v>
      </c>
      <c r="J825" t="s">
        <v>23</v>
      </c>
      <c r="K825" t="s">
        <v>32</v>
      </c>
      <c r="L825" s="3">
        <v>50</v>
      </c>
      <c r="M825" s="3" t="str" cm="1">
        <f t="array" ref="M825">_xlfn.IFS(
L825&gt;=65,"Retirement Age",
AND(L825&lt;65,L825&gt;=40),"Middle Aged",
AND(L825&lt;40,L825&gt;=30),"In the 30s",
L825&lt;30,"Below 30")</f>
        <v>Middle Aged</v>
      </c>
      <c r="N825" t="s">
        <v>15</v>
      </c>
    </row>
    <row r="826" spans="1:14" x14ac:dyDescent="0.25">
      <c r="A826">
        <v>29048</v>
      </c>
      <c r="B826" t="s">
        <v>37</v>
      </c>
      <c r="C826" t="s">
        <v>38</v>
      </c>
      <c r="D826" s="1">
        <v>110000</v>
      </c>
      <c r="E826" s="3">
        <v>2</v>
      </c>
      <c r="F826" t="s">
        <v>13</v>
      </c>
      <c r="G826" t="s">
        <v>28</v>
      </c>
      <c r="H826" t="s">
        <v>18</v>
      </c>
      <c r="I826" s="3">
        <v>3</v>
      </c>
      <c r="J826" t="s">
        <v>16</v>
      </c>
      <c r="K826" t="s">
        <v>32</v>
      </c>
      <c r="L826" s="3">
        <v>37</v>
      </c>
      <c r="M826" s="3" t="str" cm="1">
        <f t="array" ref="M826">_xlfn.IFS(
L826&gt;=65,"Retirement Age",
AND(L826&lt;65,L826&gt;=40),"Middle Aged",
AND(L826&lt;40,L826&gt;=30),"In the 30s",
L826&lt;30,"Below 30")</f>
        <v>In the 30s</v>
      </c>
      <c r="N826" t="s">
        <v>15</v>
      </c>
    </row>
    <row r="827" spans="1:14" x14ac:dyDescent="0.25">
      <c r="A827">
        <v>24433</v>
      </c>
      <c r="B827" t="s">
        <v>36</v>
      </c>
      <c r="C827" t="s">
        <v>38</v>
      </c>
      <c r="D827" s="1">
        <v>70000</v>
      </c>
      <c r="E827" s="3">
        <v>3</v>
      </c>
      <c r="F827" t="s">
        <v>27</v>
      </c>
      <c r="G827" t="s">
        <v>21</v>
      </c>
      <c r="H827" t="s">
        <v>18</v>
      </c>
      <c r="I827" s="3">
        <v>1</v>
      </c>
      <c r="J827" t="s">
        <v>26</v>
      </c>
      <c r="K827" t="s">
        <v>32</v>
      </c>
      <c r="L827" s="3">
        <v>52</v>
      </c>
      <c r="M827" s="3" t="str" cm="1">
        <f t="array" ref="M827">_xlfn.IFS(
L827&gt;=65,"Retirement Age",
AND(L827&lt;65,L827&gt;=40),"Middle Aged",
AND(L827&lt;40,L827&gt;=30),"In the 30s",
L827&lt;30,"Below 30")</f>
        <v>Middle Aged</v>
      </c>
      <c r="N827" t="s">
        <v>15</v>
      </c>
    </row>
    <row r="828" spans="1:14" x14ac:dyDescent="0.25">
      <c r="A828">
        <v>15501</v>
      </c>
      <c r="B828" t="s">
        <v>36</v>
      </c>
      <c r="C828" t="s">
        <v>38</v>
      </c>
      <c r="D828" s="1">
        <v>70000</v>
      </c>
      <c r="E828" s="3">
        <v>4</v>
      </c>
      <c r="F828" t="s">
        <v>31</v>
      </c>
      <c r="G828" t="s">
        <v>21</v>
      </c>
      <c r="H828" t="s">
        <v>15</v>
      </c>
      <c r="I828" s="3">
        <v>0</v>
      </c>
      <c r="J828" t="s">
        <v>22</v>
      </c>
      <c r="K828" t="s">
        <v>32</v>
      </c>
      <c r="L828" s="3">
        <v>36</v>
      </c>
      <c r="M828" s="3" t="str" cm="1">
        <f t="array" ref="M828">_xlfn.IFS(
L828&gt;=65,"Retirement Age",
AND(L828&lt;65,L828&gt;=40),"Middle Aged",
AND(L828&lt;40,L828&gt;=30),"In the 30s",
L828&lt;30,"Below 30")</f>
        <v>In the 30s</v>
      </c>
      <c r="N828" t="s">
        <v>15</v>
      </c>
    </row>
    <row r="829" spans="1:14" x14ac:dyDescent="0.25">
      <c r="A829">
        <v>13911</v>
      </c>
      <c r="B829" t="s">
        <v>37</v>
      </c>
      <c r="C829" t="s">
        <v>39</v>
      </c>
      <c r="D829" s="1">
        <v>80000</v>
      </c>
      <c r="E829" s="3">
        <v>3</v>
      </c>
      <c r="F829" t="s">
        <v>13</v>
      </c>
      <c r="G829" t="s">
        <v>14</v>
      </c>
      <c r="H829" t="s">
        <v>15</v>
      </c>
      <c r="I829" s="3">
        <v>2</v>
      </c>
      <c r="J829" t="s">
        <v>22</v>
      </c>
      <c r="K829" t="s">
        <v>32</v>
      </c>
      <c r="L829" s="3">
        <v>41</v>
      </c>
      <c r="M829" s="3" t="str" cm="1">
        <f t="array" ref="M829">_xlfn.IFS(
L829&gt;=65,"Retirement Age",
AND(L829&lt;65,L829&gt;=40),"Middle Aged",
AND(L829&lt;40,L829&gt;=30),"In the 30s",
L829&lt;30,"Below 30")</f>
        <v>Middle Aged</v>
      </c>
      <c r="N829" t="s">
        <v>15</v>
      </c>
    </row>
    <row r="830" spans="1:14" x14ac:dyDescent="0.25">
      <c r="A830">
        <v>20421</v>
      </c>
      <c r="B830" t="s">
        <v>37</v>
      </c>
      <c r="C830" t="s">
        <v>39</v>
      </c>
      <c r="D830" s="1">
        <v>40000</v>
      </c>
      <c r="E830" s="3">
        <v>0</v>
      </c>
      <c r="F830" t="s">
        <v>29</v>
      </c>
      <c r="G830" t="s">
        <v>20</v>
      </c>
      <c r="H830" t="s">
        <v>15</v>
      </c>
      <c r="I830" s="3">
        <v>2</v>
      </c>
      <c r="J830" t="s">
        <v>23</v>
      </c>
      <c r="K830" t="s">
        <v>32</v>
      </c>
      <c r="L830" s="3">
        <v>26</v>
      </c>
      <c r="M830" s="3" t="str" cm="1">
        <f t="array" ref="M830">_xlfn.IFS(
L830&gt;=65,"Retirement Age",
AND(L830&lt;65,L830&gt;=40),"Middle Aged",
AND(L830&lt;40,L830&gt;=30),"In the 30s",
L830&lt;30,"Below 30")</f>
        <v>Below 30</v>
      </c>
      <c r="N830" t="s">
        <v>18</v>
      </c>
    </row>
    <row r="831" spans="1:14" x14ac:dyDescent="0.25">
      <c r="A831">
        <v>16009</v>
      </c>
      <c r="B831" t="s">
        <v>37</v>
      </c>
      <c r="C831" t="s">
        <v>38</v>
      </c>
      <c r="D831" s="1">
        <v>170000</v>
      </c>
      <c r="E831" s="3">
        <v>1</v>
      </c>
      <c r="F831" t="s">
        <v>31</v>
      </c>
      <c r="G831" t="s">
        <v>28</v>
      </c>
      <c r="H831" t="s">
        <v>18</v>
      </c>
      <c r="I831" s="3">
        <v>4</v>
      </c>
      <c r="J831" t="s">
        <v>16</v>
      </c>
      <c r="K831" t="s">
        <v>32</v>
      </c>
      <c r="L831" s="3">
        <v>66</v>
      </c>
      <c r="M831" s="3" t="str" cm="1">
        <f t="array" ref="M831">_xlfn.IFS(
L831&gt;=65,"Retirement Age",
AND(L831&lt;65,L831&gt;=40),"Middle Aged",
AND(L831&lt;40,L831&gt;=30),"In the 30s",
L831&lt;30,"Below 30")</f>
        <v>Retirement Age</v>
      </c>
      <c r="N831" t="s">
        <v>18</v>
      </c>
    </row>
    <row r="832" spans="1:14" x14ac:dyDescent="0.25">
      <c r="A832">
        <v>18411</v>
      </c>
      <c r="B832" t="s">
        <v>36</v>
      </c>
      <c r="C832" t="s">
        <v>38</v>
      </c>
      <c r="D832" s="1">
        <v>60000</v>
      </c>
      <c r="E832" s="3">
        <v>2</v>
      </c>
      <c r="F832" t="s">
        <v>27</v>
      </c>
      <c r="G832" t="s">
        <v>21</v>
      </c>
      <c r="H832" t="s">
        <v>18</v>
      </c>
      <c r="I832" s="3">
        <v>2</v>
      </c>
      <c r="J832" t="s">
        <v>23</v>
      </c>
      <c r="K832" t="s">
        <v>32</v>
      </c>
      <c r="L832" s="3">
        <v>51</v>
      </c>
      <c r="M832" s="3" t="str" cm="1">
        <f t="array" ref="M832">_xlfn.IFS(
L832&gt;=65,"Retirement Age",
AND(L832&lt;65,L832&gt;=40),"Middle Aged",
AND(L832&lt;40,L832&gt;=30),"In the 30s",
L832&lt;30,"Below 30")</f>
        <v>Middle Aged</v>
      </c>
      <c r="N832" t="s">
        <v>18</v>
      </c>
    </row>
    <row r="833" spans="1:14" x14ac:dyDescent="0.25">
      <c r="A833">
        <v>19163</v>
      </c>
      <c r="B833" t="s">
        <v>36</v>
      </c>
      <c r="C833" t="s">
        <v>39</v>
      </c>
      <c r="D833" s="1">
        <v>70000</v>
      </c>
      <c r="E833" s="3">
        <v>4</v>
      </c>
      <c r="F833" t="s">
        <v>13</v>
      </c>
      <c r="G833" t="s">
        <v>21</v>
      </c>
      <c r="H833" t="s">
        <v>15</v>
      </c>
      <c r="I833" s="3">
        <v>2</v>
      </c>
      <c r="J833" t="s">
        <v>16</v>
      </c>
      <c r="K833" t="s">
        <v>32</v>
      </c>
      <c r="L833" s="3">
        <v>43</v>
      </c>
      <c r="M833" s="3" t="str" cm="1">
        <f t="array" ref="M833">_xlfn.IFS(
L833&gt;=65,"Retirement Age",
AND(L833&lt;65,L833&gt;=40),"Middle Aged",
AND(L833&lt;40,L833&gt;=30),"In the 30s",
L833&lt;30,"Below 30")</f>
        <v>Middle Aged</v>
      </c>
      <c r="N833" t="s">
        <v>15</v>
      </c>
    </row>
    <row r="834" spans="1:14" x14ac:dyDescent="0.25">
      <c r="A834">
        <v>18572</v>
      </c>
      <c r="B834" t="s">
        <v>36</v>
      </c>
      <c r="C834" t="s">
        <v>39</v>
      </c>
      <c r="D834" s="1">
        <v>60000</v>
      </c>
      <c r="E834" s="3">
        <v>0</v>
      </c>
      <c r="F834" t="s">
        <v>31</v>
      </c>
      <c r="G834" t="s">
        <v>21</v>
      </c>
      <c r="H834" t="s">
        <v>15</v>
      </c>
      <c r="I834" s="3">
        <v>0</v>
      </c>
      <c r="J834" t="s">
        <v>16</v>
      </c>
      <c r="K834" t="s">
        <v>32</v>
      </c>
      <c r="L834" s="3">
        <v>39</v>
      </c>
      <c r="M834" s="3" t="str" cm="1">
        <f t="array" ref="M834">_xlfn.IFS(
L834&gt;=65,"Retirement Age",
AND(L834&lt;65,L834&gt;=40),"Middle Aged",
AND(L834&lt;40,L834&gt;=30),"In the 30s",
L834&lt;30,"Below 30")</f>
        <v>In the 30s</v>
      </c>
      <c r="N834" t="s">
        <v>18</v>
      </c>
    </row>
    <row r="835" spans="1:14" x14ac:dyDescent="0.25">
      <c r="A835">
        <v>27540</v>
      </c>
      <c r="B835" t="s">
        <v>37</v>
      </c>
      <c r="C835" t="s">
        <v>39</v>
      </c>
      <c r="D835" s="1">
        <v>70000</v>
      </c>
      <c r="E835" s="3">
        <v>0</v>
      </c>
      <c r="F835" t="s">
        <v>13</v>
      </c>
      <c r="G835" t="s">
        <v>21</v>
      </c>
      <c r="H835" t="s">
        <v>18</v>
      </c>
      <c r="I835" s="3">
        <v>1</v>
      </c>
      <c r="J835" t="s">
        <v>16</v>
      </c>
      <c r="K835" t="s">
        <v>32</v>
      </c>
      <c r="L835" s="3">
        <v>37</v>
      </c>
      <c r="M835" s="3" t="str" cm="1">
        <f t="array" ref="M835">_xlfn.IFS(
L835&gt;=65,"Retirement Age",
AND(L835&lt;65,L835&gt;=40),"Middle Aged",
AND(L835&lt;40,L835&gt;=30),"In the 30s",
L835&lt;30,"Below 30")</f>
        <v>In the 30s</v>
      </c>
      <c r="N835" t="s">
        <v>15</v>
      </c>
    </row>
    <row r="836" spans="1:14" x14ac:dyDescent="0.25">
      <c r="A836">
        <v>19889</v>
      </c>
      <c r="B836" t="s">
        <v>37</v>
      </c>
      <c r="C836" t="s">
        <v>39</v>
      </c>
      <c r="D836" s="1">
        <v>70000</v>
      </c>
      <c r="E836" s="3">
        <v>2</v>
      </c>
      <c r="F836" t="s">
        <v>29</v>
      </c>
      <c r="G836" t="s">
        <v>14</v>
      </c>
      <c r="H836" t="s">
        <v>18</v>
      </c>
      <c r="I836" s="3">
        <v>2</v>
      </c>
      <c r="J836" t="s">
        <v>22</v>
      </c>
      <c r="K836" t="s">
        <v>32</v>
      </c>
      <c r="L836" s="3">
        <v>54</v>
      </c>
      <c r="M836" s="3" t="str" cm="1">
        <f t="array" ref="M836">_xlfn.IFS(
L836&gt;=65,"Retirement Age",
AND(L836&lt;65,L836&gt;=40),"Middle Aged",
AND(L836&lt;40,L836&gt;=30),"In the 30s",
L836&lt;30,"Below 30")</f>
        <v>Middle Aged</v>
      </c>
      <c r="N836" t="s">
        <v>15</v>
      </c>
    </row>
    <row r="837" spans="1:14" x14ac:dyDescent="0.25">
      <c r="A837">
        <v>12922</v>
      </c>
      <c r="B837" t="s">
        <v>37</v>
      </c>
      <c r="C837" t="s">
        <v>39</v>
      </c>
      <c r="D837" s="1">
        <v>60000</v>
      </c>
      <c r="E837" s="3">
        <v>3</v>
      </c>
      <c r="F837" t="s">
        <v>13</v>
      </c>
      <c r="G837" t="s">
        <v>14</v>
      </c>
      <c r="H837" t="s">
        <v>15</v>
      </c>
      <c r="I837" s="3">
        <v>0</v>
      </c>
      <c r="J837" t="s">
        <v>22</v>
      </c>
      <c r="K837" t="s">
        <v>32</v>
      </c>
      <c r="L837" s="3">
        <v>40</v>
      </c>
      <c r="M837" s="3" t="str" cm="1">
        <f t="array" ref="M837">_xlfn.IFS(
L837&gt;=65,"Retirement Age",
AND(L837&lt;65,L837&gt;=40),"Middle Aged",
AND(L837&lt;40,L837&gt;=30),"In the 30s",
L837&lt;30,"Below 30")</f>
        <v>Middle Aged</v>
      </c>
      <c r="N837" t="s">
        <v>15</v>
      </c>
    </row>
    <row r="838" spans="1:14" x14ac:dyDescent="0.25">
      <c r="A838">
        <v>18891</v>
      </c>
      <c r="B838" t="s">
        <v>36</v>
      </c>
      <c r="C838" t="s">
        <v>39</v>
      </c>
      <c r="D838" s="1">
        <v>40000</v>
      </c>
      <c r="E838" s="3">
        <v>0</v>
      </c>
      <c r="F838" t="s">
        <v>19</v>
      </c>
      <c r="G838" t="s">
        <v>14</v>
      </c>
      <c r="H838" t="s">
        <v>15</v>
      </c>
      <c r="I838" s="3">
        <v>2</v>
      </c>
      <c r="J838" t="s">
        <v>23</v>
      </c>
      <c r="K838" t="s">
        <v>32</v>
      </c>
      <c r="L838" s="3">
        <v>28</v>
      </c>
      <c r="M838" s="3" t="str" cm="1">
        <f t="array" ref="M838">_xlfn.IFS(
L838&gt;=65,"Retirement Age",
AND(L838&lt;65,L838&gt;=40),"Middle Aged",
AND(L838&lt;40,L838&gt;=30),"In the 30s",
L838&lt;30,"Below 30")</f>
        <v>Below 30</v>
      </c>
      <c r="N838" t="s">
        <v>18</v>
      </c>
    </row>
    <row r="839" spans="1:14" x14ac:dyDescent="0.25">
      <c r="A839">
        <v>16773</v>
      </c>
      <c r="B839" t="s">
        <v>36</v>
      </c>
      <c r="C839" t="s">
        <v>38</v>
      </c>
      <c r="D839" s="1">
        <v>60000</v>
      </c>
      <c r="E839" s="3">
        <v>1</v>
      </c>
      <c r="F839" t="s">
        <v>31</v>
      </c>
      <c r="G839" t="s">
        <v>14</v>
      </c>
      <c r="H839" t="s">
        <v>15</v>
      </c>
      <c r="I839" s="3">
        <v>0</v>
      </c>
      <c r="J839" t="s">
        <v>16</v>
      </c>
      <c r="K839" t="s">
        <v>32</v>
      </c>
      <c r="L839" s="3">
        <v>33</v>
      </c>
      <c r="M839" s="3" t="str" cm="1">
        <f t="array" ref="M839">_xlfn.IFS(
L839&gt;=65,"Retirement Age",
AND(L839&lt;65,L839&gt;=40),"Middle Aged",
AND(L839&lt;40,L839&gt;=30),"In the 30s",
L839&lt;30,"Below 30")</f>
        <v>In the 30s</v>
      </c>
      <c r="N839" t="s">
        <v>18</v>
      </c>
    </row>
    <row r="840" spans="1:14" x14ac:dyDescent="0.25">
      <c r="A840">
        <v>19143</v>
      </c>
      <c r="B840" t="s">
        <v>37</v>
      </c>
      <c r="C840" t="s">
        <v>39</v>
      </c>
      <c r="D840" s="1">
        <v>80000</v>
      </c>
      <c r="E840" s="3">
        <v>3</v>
      </c>
      <c r="F840" t="s">
        <v>13</v>
      </c>
      <c r="G840" t="s">
        <v>14</v>
      </c>
      <c r="H840" t="s">
        <v>15</v>
      </c>
      <c r="I840" s="3">
        <v>2</v>
      </c>
      <c r="J840" t="s">
        <v>22</v>
      </c>
      <c r="K840" t="s">
        <v>32</v>
      </c>
      <c r="L840" s="3">
        <v>41</v>
      </c>
      <c r="M840" s="3" t="str" cm="1">
        <f t="array" ref="M840">_xlfn.IFS(
L840&gt;=65,"Retirement Age",
AND(L840&lt;65,L840&gt;=40),"Middle Aged",
AND(L840&lt;40,L840&gt;=30),"In the 30s",
L840&lt;30,"Below 30")</f>
        <v>Middle Aged</v>
      </c>
      <c r="N840" t="s">
        <v>15</v>
      </c>
    </row>
    <row r="841" spans="1:14" x14ac:dyDescent="0.25">
      <c r="A841">
        <v>23882</v>
      </c>
      <c r="B841" t="s">
        <v>37</v>
      </c>
      <c r="C841" t="s">
        <v>39</v>
      </c>
      <c r="D841" s="1">
        <v>80000</v>
      </c>
      <c r="E841" s="3">
        <v>3</v>
      </c>
      <c r="F841" t="s">
        <v>31</v>
      </c>
      <c r="G841" t="s">
        <v>21</v>
      </c>
      <c r="H841" t="s">
        <v>15</v>
      </c>
      <c r="I841" s="3">
        <v>0</v>
      </c>
      <c r="J841" t="s">
        <v>16</v>
      </c>
      <c r="K841" t="s">
        <v>32</v>
      </c>
      <c r="L841" s="3">
        <v>37</v>
      </c>
      <c r="M841" s="3" t="str" cm="1">
        <f t="array" ref="M841">_xlfn.IFS(
L841&gt;=65,"Retirement Age",
AND(L841&lt;65,L841&gt;=40),"Middle Aged",
AND(L841&lt;40,L841&gt;=30),"In the 30s",
L841&lt;30,"Below 30")</f>
        <v>In the 30s</v>
      </c>
      <c r="N841" t="s">
        <v>15</v>
      </c>
    </row>
    <row r="842" spans="1:14" x14ac:dyDescent="0.25">
      <c r="A842">
        <v>11233</v>
      </c>
      <c r="B842" t="s">
        <v>36</v>
      </c>
      <c r="C842" t="s">
        <v>38</v>
      </c>
      <c r="D842" s="1">
        <v>70000</v>
      </c>
      <c r="E842" s="3">
        <v>4</v>
      </c>
      <c r="F842" t="s">
        <v>19</v>
      </c>
      <c r="G842" t="s">
        <v>21</v>
      </c>
      <c r="H842" t="s">
        <v>15</v>
      </c>
      <c r="I842" s="3">
        <v>2</v>
      </c>
      <c r="J842" t="s">
        <v>45</v>
      </c>
      <c r="K842" t="s">
        <v>32</v>
      </c>
      <c r="L842" s="3">
        <v>53</v>
      </c>
      <c r="M842" s="3" t="str" cm="1">
        <f t="array" ref="M842">_xlfn.IFS(
L842&gt;=65,"Retirement Age",
AND(L842&lt;65,L842&gt;=40),"Middle Aged",
AND(L842&lt;40,L842&gt;=30),"In the 30s",
L842&lt;30,"Below 30")</f>
        <v>Middle Aged</v>
      </c>
      <c r="N842" t="s">
        <v>18</v>
      </c>
    </row>
    <row r="843" spans="1:14" x14ac:dyDescent="0.25">
      <c r="A843">
        <v>12056</v>
      </c>
      <c r="B843" t="s">
        <v>36</v>
      </c>
      <c r="C843" t="s">
        <v>38</v>
      </c>
      <c r="D843" s="1">
        <v>120000</v>
      </c>
      <c r="E843" s="3">
        <v>2</v>
      </c>
      <c r="F843" t="s">
        <v>31</v>
      </c>
      <c r="G843" t="s">
        <v>28</v>
      </c>
      <c r="H843" t="s">
        <v>15</v>
      </c>
      <c r="I843" s="3">
        <v>3</v>
      </c>
      <c r="J843" t="s">
        <v>23</v>
      </c>
      <c r="K843" t="s">
        <v>32</v>
      </c>
      <c r="L843" s="3">
        <v>64</v>
      </c>
      <c r="M843" s="3" t="str" cm="1">
        <f t="array" ref="M843">_xlfn.IFS(
L843&gt;=65,"Retirement Age",
AND(L843&lt;65,L843&gt;=40),"Middle Aged",
AND(L843&lt;40,L843&gt;=30),"In the 30s",
L843&lt;30,"Below 30")</f>
        <v>Middle Aged</v>
      </c>
      <c r="N843" t="s">
        <v>18</v>
      </c>
    </row>
    <row r="844" spans="1:14" x14ac:dyDescent="0.25">
      <c r="A844">
        <v>15555</v>
      </c>
      <c r="B844" t="s">
        <v>36</v>
      </c>
      <c r="C844" t="s">
        <v>39</v>
      </c>
      <c r="D844" s="1">
        <v>60000</v>
      </c>
      <c r="E844" s="3">
        <v>1</v>
      </c>
      <c r="F844" t="s">
        <v>19</v>
      </c>
      <c r="G844" t="s">
        <v>14</v>
      </c>
      <c r="H844" t="s">
        <v>15</v>
      </c>
      <c r="I844" s="3">
        <v>1</v>
      </c>
      <c r="J844" t="s">
        <v>22</v>
      </c>
      <c r="K844" t="s">
        <v>32</v>
      </c>
      <c r="L844" s="3">
        <v>45</v>
      </c>
      <c r="M844" s="3" t="str" cm="1">
        <f t="array" ref="M844">_xlfn.IFS(
L844&gt;=65,"Retirement Age",
AND(L844&lt;65,L844&gt;=40),"Middle Aged",
AND(L844&lt;40,L844&gt;=30),"In the 30s",
L844&lt;30,"Below 30")</f>
        <v>Middle Aged</v>
      </c>
      <c r="N844" t="s">
        <v>15</v>
      </c>
    </row>
    <row r="845" spans="1:14" x14ac:dyDescent="0.25">
      <c r="A845">
        <v>18423</v>
      </c>
      <c r="B845" t="s">
        <v>37</v>
      </c>
      <c r="C845" t="s">
        <v>38</v>
      </c>
      <c r="D845" s="1">
        <v>80000</v>
      </c>
      <c r="E845" s="3">
        <v>2</v>
      </c>
      <c r="F845" t="s">
        <v>29</v>
      </c>
      <c r="G845" t="s">
        <v>14</v>
      </c>
      <c r="H845" t="s">
        <v>18</v>
      </c>
      <c r="I845" s="3">
        <v>2</v>
      </c>
      <c r="J845" t="s">
        <v>26</v>
      </c>
      <c r="K845" t="s">
        <v>32</v>
      </c>
      <c r="L845" s="3">
        <v>52</v>
      </c>
      <c r="M845" s="3" t="str" cm="1">
        <f t="array" ref="M845">_xlfn.IFS(
L845&gt;=65,"Retirement Age",
AND(L845&lt;65,L845&gt;=40),"Middle Aged",
AND(L845&lt;40,L845&gt;=30),"In the 30s",
L845&lt;30,"Below 30")</f>
        <v>Middle Aged</v>
      </c>
      <c r="N845" t="s">
        <v>18</v>
      </c>
    </row>
    <row r="846" spans="1:14" x14ac:dyDescent="0.25">
      <c r="A846">
        <v>22743</v>
      </c>
      <c r="B846" t="s">
        <v>36</v>
      </c>
      <c r="C846" t="s">
        <v>39</v>
      </c>
      <c r="D846" s="1">
        <v>40000</v>
      </c>
      <c r="E846" s="3">
        <v>5</v>
      </c>
      <c r="F846" t="s">
        <v>27</v>
      </c>
      <c r="G846" t="s">
        <v>21</v>
      </c>
      <c r="H846" t="s">
        <v>15</v>
      </c>
      <c r="I846" s="3">
        <v>2</v>
      </c>
      <c r="J846" t="s">
        <v>45</v>
      </c>
      <c r="K846" t="s">
        <v>32</v>
      </c>
      <c r="L846" s="3">
        <v>60</v>
      </c>
      <c r="M846" s="3" t="str" cm="1">
        <f t="array" ref="M846">_xlfn.IFS(
L846&gt;=65,"Retirement Age",
AND(L846&lt;65,L846&gt;=40),"Middle Aged",
AND(L846&lt;40,L846&gt;=30),"In the 30s",
L846&lt;30,"Below 30")</f>
        <v>Middle Aged</v>
      </c>
      <c r="N846" t="s">
        <v>18</v>
      </c>
    </row>
    <row r="847" spans="1:14" x14ac:dyDescent="0.25">
      <c r="A847">
        <v>25343</v>
      </c>
      <c r="B847" t="s">
        <v>37</v>
      </c>
      <c r="C847" t="s">
        <v>39</v>
      </c>
      <c r="D847" s="1">
        <v>20000</v>
      </c>
      <c r="E847" s="3">
        <v>3</v>
      </c>
      <c r="F847" t="s">
        <v>29</v>
      </c>
      <c r="G847" t="s">
        <v>20</v>
      </c>
      <c r="H847" t="s">
        <v>15</v>
      </c>
      <c r="I847" s="3">
        <v>2</v>
      </c>
      <c r="J847" t="s">
        <v>26</v>
      </c>
      <c r="K847" t="s">
        <v>32</v>
      </c>
      <c r="L847" s="3">
        <v>50</v>
      </c>
      <c r="M847" s="3" t="str" cm="1">
        <f t="array" ref="M847">_xlfn.IFS(
L847&gt;=65,"Retirement Age",
AND(L847&lt;65,L847&gt;=40),"Middle Aged",
AND(L847&lt;40,L847&gt;=30),"In the 30s",
L847&lt;30,"Below 30")</f>
        <v>Middle Aged</v>
      </c>
      <c r="N847" t="s">
        <v>18</v>
      </c>
    </row>
    <row r="848" spans="1:14" x14ac:dyDescent="0.25">
      <c r="A848">
        <v>13390</v>
      </c>
      <c r="B848" t="s">
        <v>36</v>
      </c>
      <c r="C848" t="s">
        <v>39</v>
      </c>
      <c r="D848" s="1">
        <v>70000</v>
      </c>
      <c r="E848" s="3">
        <v>4</v>
      </c>
      <c r="F848" t="s">
        <v>19</v>
      </c>
      <c r="G848" t="s">
        <v>21</v>
      </c>
      <c r="H848" t="s">
        <v>18</v>
      </c>
      <c r="I848" s="3">
        <v>1</v>
      </c>
      <c r="J848" t="s">
        <v>26</v>
      </c>
      <c r="K848" t="s">
        <v>32</v>
      </c>
      <c r="L848" s="3">
        <v>56</v>
      </c>
      <c r="M848" s="3" t="str" cm="1">
        <f t="array" ref="M848">_xlfn.IFS(
L848&gt;=65,"Retirement Age",
AND(L848&lt;65,L848&gt;=40),"Middle Aged",
AND(L848&lt;40,L848&gt;=30),"In the 30s",
L848&lt;30,"Below 30")</f>
        <v>Middle Aged</v>
      </c>
      <c r="N848" t="s">
        <v>18</v>
      </c>
    </row>
    <row r="849" spans="1:14" x14ac:dyDescent="0.25">
      <c r="A849">
        <v>17482</v>
      </c>
      <c r="B849" t="s">
        <v>37</v>
      </c>
      <c r="C849" t="s">
        <v>39</v>
      </c>
      <c r="D849" s="1">
        <v>40000</v>
      </c>
      <c r="E849" s="3">
        <v>0</v>
      </c>
      <c r="F849" t="s">
        <v>29</v>
      </c>
      <c r="G849" t="s">
        <v>20</v>
      </c>
      <c r="H849" t="s">
        <v>15</v>
      </c>
      <c r="I849" s="3">
        <v>2</v>
      </c>
      <c r="J849" t="s">
        <v>23</v>
      </c>
      <c r="K849" t="s">
        <v>32</v>
      </c>
      <c r="L849" s="3">
        <v>29</v>
      </c>
      <c r="M849" s="3" t="str" cm="1">
        <f t="array" ref="M849">_xlfn.IFS(
L849&gt;=65,"Retirement Age",
AND(L849&lt;65,L849&gt;=40),"Middle Aged",
AND(L849&lt;40,L849&gt;=30),"In the 30s",
L849&lt;30,"Below 30")</f>
        <v>Below 30</v>
      </c>
      <c r="N849" t="s">
        <v>18</v>
      </c>
    </row>
    <row r="850" spans="1:14" x14ac:dyDescent="0.25">
      <c r="A850">
        <v>13176</v>
      </c>
      <c r="B850" t="s">
        <v>37</v>
      </c>
      <c r="C850" t="s">
        <v>38</v>
      </c>
      <c r="D850" s="1">
        <v>130000</v>
      </c>
      <c r="E850" s="3">
        <v>0</v>
      </c>
      <c r="F850" t="s">
        <v>31</v>
      </c>
      <c r="G850" t="s">
        <v>28</v>
      </c>
      <c r="H850" t="s">
        <v>18</v>
      </c>
      <c r="I850" s="3">
        <v>2</v>
      </c>
      <c r="J850" t="s">
        <v>16</v>
      </c>
      <c r="K850" t="s">
        <v>32</v>
      </c>
      <c r="L850" s="3">
        <v>38</v>
      </c>
      <c r="M850" s="3" t="str" cm="1">
        <f t="array" ref="M850">_xlfn.IFS(
L850&gt;=65,"Retirement Age",
AND(L850&lt;65,L850&gt;=40),"Middle Aged",
AND(L850&lt;40,L850&gt;=30),"In the 30s",
L850&lt;30,"Below 30")</f>
        <v>In the 30s</v>
      </c>
      <c r="N850" t="s">
        <v>15</v>
      </c>
    </row>
    <row r="851" spans="1:14" x14ac:dyDescent="0.25">
      <c r="A851">
        <v>20504</v>
      </c>
      <c r="B851" t="s">
        <v>36</v>
      </c>
      <c r="C851" t="s">
        <v>39</v>
      </c>
      <c r="D851" s="1">
        <v>40000</v>
      </c>
      <c r="E851" s="3">
        <v>5</v>
      </c>
      <c r="F851" t="s">
        <v>27</v>
      </c>
      <c r="G851" t="s">
        <v>21</v>
      </c>
      <c r="H851" t="s">
        <v>18</v>
      </c>
      <c r="I851" s="3">
        <v>2</v>
      </c>
      <c r="J851" t="s">
        <v>22</v>
      </c>
      <c r="K851" t="s">
        <v>32</v>
      </c>
      <c r="L851" s="3">
        <v>60</v>
      </c>
      <c r="M851" s="3" t="str" cm="1">
        <f t="array" ref="M851">_xlfn.IFS(
L851&gt;=65,"Retirement Age",
AND(L851&lt;65,L851&gt;=40),"Middle Aged",
AND(L851&lt;40,L851&gt;=30),"In the 30s",
L851&lt;30,"Below 30")</f>
        <v>Middle Aged</v>
      </c>
      <c r="N851" t="s">
        <v>18</v>
      </c>
    </row>
    <row r="852" spans="1:14" x14ac:dyDescent="0.25">
      <c r="A852">
        <v>12205</v>
      </c>
      <c r="B852" t="s">
        <v>37</v>
      </c>
      <c r="C852" t="s">
        <v>39</v>
      </c>
      <c r="D852" s="1">
        <v>130000</v>
      </c>
      <c r="E852" s="3">
        <v>2</v>
      </c>
      <c r="F852" t="s">
        <v>13</v>
      </c>
      <c r="G852" t="s">
        <v>28</v>
      </c>
      <c r="H852" t="s">
        <v>18</v>
      </c>
      <c r="I852" s="3">
        <v>4</v>
      </c>
      <c r="J852" t="s">
        <v>16</v>
      </c>
      <c r="K852" t="s">
        <v>32</v>
      </c>
      <c r="L852" s="3">
        <v>67</v>
      </c>
      <c r="M852" s="3" t="str" cm="1">
        <f t="array" ref="M852">_xlfn.IFS(
L852&gt;=65,"Retirement Age",
AND(L852&lt;65,L852&gt;=40),"Middle Aged",
AND(L852&lt;40,L852&gt;=30),"In the 30s",
L852&lt;30,"Below 30")</f>
        <v>Retirement Age</v>
      </c>
      <c r="N852" t="s">
        <v>18</v>
      </c>
    </row>
    <row r="853" spans="1:14" x14ac:dyDescent="0.25">
      <c r="A853">
        <v>16751</v>
      </c>
      <c r="B853" t="s">
        <v>36</v>
      </c>
      <c r="C853" t="s">
        <v>38</v>
      </c>
      <c r="D853" s="1">
        <v>60000</v>
      </c>
      <c r="E853" s="3">
        <v>0</v>
      </c>
      <c r="F853" t="s">
        <v>19</v>
      </c>
      <c r="G853" t="s">
        <v>14</v>
      </c>
      <c r="H853" t="s">
        <v>15</v>
      </c>
      <c r="I853" s="3">
        <v>1</v>
      </c>
      <c r="J853" t="s">
        <v>23</v>
      </c>
      <c r="K853" t="s">
        <v>32</v>
      </c>
      <c r="L853" s="3">
        <v>32</v>
      </c>
      <c r="M853" s="3" t="str" cm="1">
        <f t="array" ref="M853">_xlfn.IFS(
L853&gt;=65,"Retirement Age",
AND(L853&lt;65,L853&gt;=40),"Middle Aged",
AND(L853&lt;40,L853&gt;=30),"In the 30s",
L853&lt;30,"Below 30")</f>
        <v>In the 30s</v>
      </c>
      <c r="N853" t="s">
        <v>15</v>
      </c>
    </row>
    <row r="854" spans="1:14" x14ac:dyDescent="0.25">
      <c r="A854">
        <v>21613</v>
      </c>
      <c r="B854" t="s">
        <v>37</v>
      </c>
      <c r="C854" t="s">
        <v>38</v>
      </c>
      <c r="D854" s="1">
        <v>50000</v>
      </c>
      <c r="E854" s="3">
        <v>2</v>
      </c>
      <c r="F854" t="s">
        <v>13</v>
      </c>
      <c r="G854" t="s">
        <v>14</v>
      </c>
      <c r="H854" t="s">
        <v>18</v>
      </c>
      <c r="I854" s="3">
        <v>1</v>
      </c>
      <c r="J854" t="s">
        <v>16</v>
      </c>
      <c r="K854" t="s">
        <v>32</v>
      </c>
      <c r="L854" s="3">
        <v>39</v>
      </c>
      <c r="M854" s="3" t="str" cm="1">
        <f t="array" ref="M854">_xlfn.IFS(
L854&gt;=65,"Retirement Age",
AND(L854&lt;65,L854&gt;=40),"Middle Aged",
AND(L854&lt;40,L854&gt;=30),"In the 30s",
L854&lt;30,"Below 30")</f>
        <v>In the 30s</v>
      </c>
      <c r="N854" t="s">
        <v>15</v>
      </c>
    </row>
    <row r="855" spans="1:14" x14ac:dyDescent="0.25">
      <c r="A855">
        <v>24801</v>
      </c>
      <c r="B855" t="s">
        <v>37</v>
      </c>
      <c r="C855" t="s">
        <v>38</v>
      </c>
      <c r="D855" s="1">
        <v>60000</v>
      </c>
      <c r="E855" s="3">
        <v>1</v>
      </c>
      <c r="F855" t="s">
        <v>31</v>
      </c>
      <c r="G855" t="s">
        <v>21</v>
      </c>
      <c r="H855" t="s">
        <v>15</v>
      </c>
      <c r="I855" s="3">
        <v>0</v>
      </c>
      <c r="J855" t="s">
        <v>22</v>
      </c>
      <c r="K855" t="s">
        <v>32</v>
      </c>
      <c r="L855" s="3">
        <v>35</v>
      </c>
      <c r="M855" s="3" t="str" cm="1">
        <f t="array" ref="M855">_xlfn.IFS(
L855&gt;=65,"Retirement Age",
AND(L855&lt;65,L855&gt;=40),"Middle Aged",
AND(L855&lt;40,L855&gt;=30),"In the 30s",
L855&lt;30,"Below 30")</f>
        <v>In the 30s</v>
      </c>
      <c r="N855" t="s">
        <v>15</v>
      </c>
    </row>
    <row r="856" spans="1:14" x14ac:dyDescent="0.25">
      <c r="A856">
        <v>17519</v>
      </c>
      <c r="B856" t="s">
        <v>36</v>
      </c>
      <c r="C856" t="s">
        <v>39</v>
      </c>
      <c r="D856" s="1">
        <v>60000</v>
      </c>
      <c r="E856" s="3">
        <v>0</v>
      </c>
      <c r="F856" t="s">
        <v>19</v>
      </c>
      <c r="G856" t="s">
        <v>21</v>
      </c>
      <c r="H856" t="s">
        <v>15</v>
      </c>
      <c r="I856" s="3">
        <v>2</v>
      </c>
      <c r="J856" t="s">
        <v>23</v>
      </c>
      <c r="K856" t="s">
        <v>32</v>
      </c>
      <c r="L856" s="3">
        <v>32</v>
      </c>
      <c r="M856" s="3" t="str" cm="1">
        <f t="array" ref="M856">_xlfn.IFS(
L856&gt;=65,"Retirement Age",
AND(L856&lt;65,L856&gt;=40),"Middle Aged",
AND(L856&lt;40,L856&gt;=30),"In the 30s",
L856&lt;30,"Below 30")</f>
        <v>In the 30s</v>
      </c>
      <c r="N856" t="s">
        <v>18</v>
      </c>
    </row>
    <row r="857" spans="1:14" x14ac:dyDescent="0.25">
      <c r="A857">
        <v>18347</v>
      </c>
      <c r="B857" t="s">
        <v>37</v>
      </c>
      <c r="C857" t="s">
        <v>39</v>
      </c>
      <c r="D857" s="1">
        <v>30000</v>
      </c>
      <c r="E857" s="3">
        <v>0</v>
      </c>
      <c r="F857" t="s">
        <v>19</v>
      </c>
      <c r="G857" t="s">
        <v>14</v>
      </c>
      <c r="H857" t="s">
        <v>18</v>
      </c>
      <c r="I857" s="3">
        <v>1</v>
      </c>
      <c r="J857" t="s">
        <v>26</v>
      </c>
      <c r="K857" t="s">
        <v>32</v>
      </c>
      <c r="L857" s="3">
        <v>31</v>
      </c>
      <c r="M857" s="3" t="str" cm="1">
        <f t="array" ref="M857">_xlfn.IFS(
L857&gt;=65,"Retirement Age",
AND(L857&lt;65,L857&gt;=40),"Middle Aged",
AND(L857&lt;40,L857&gt;=30),"In the 30s",
L857&lt;30,"Below 30")</f>
        <v>In the 30s</v>
      </c>
      <c r="N857" t="s">
        <v>18</v>
      </c>
    </row>
    <row r="858" spans="1:14" x14ac:dyDescent="0.25">
      <c r="A858">
        <v>29052</v>
      </c>
      <c r="B858" t="s">
        <v>37</v>
      </c>
      <c r="C858" t="s">
        <v>38</v>
      </c>
      <c r="D858" s="1">
        <v>40000</v>
      </c>
      <c r="E858" s="3">
        <v>0</v>
      </c>
      <c r="F858" t="s">
        <v>19</v>
      </c>
      <c r="G858" t="s">
        <v>14</v>
      </c>
      <c r="H858" t="s">
        <v>15</v>
      </c>
      <c r="I858" s="3">
        <v>1</v>
      </c>
      <c r="J858" t="s">
        <v>23</v>
      </c>
      <c r="K858" t="s">
        <v>32</v>
      </c>
      <c r="L858" s="3">
        <v>27</v>
      </c>
      <c r="M858" s="3" t="str" cm="1">
        <f t="array" ref="M858">_xlfn.IFS(
L858&gt;=65,"Retirement Age",
AND(L858&lt;65,L858&gt;=40),"Middle Aged",
AND(L858&lt;40,L858&gt;=30),"In the 30s",
L858&lt;30,"Below 30")</f>
        <v>Below 30</v>
      </c>
      <c r="N858" t="s">
        <v>18</v>
      </c>
    </row>
    <row r="859" spans="1:14" x14ac:dyDescent="0.25">
      <c r="A859">
        <v>11745</v>
      </c>
      <c r="B859" t="s">
        <v>36</v>
      </c>
      <c r="C859" t="s">
        <v>39</v>
      </c>
      <c r="D859" s="1">
        <v>60000</v>
      </c>
      <c r="E859" s="3">
        <v>1</v>
      </c>
      <c r="F859" t="s">
        <v>13</v>
      </c>
      <c r="G859" t="s">
        <v>21</v>
      </c>
      <c r="H859" t="s">
        <v>15</v>
      </c>
      <c r="I859" s="3">
        <v>1</v>
      </c>
      <c r="J859" t="s">
        <v>16</v>
      </c>
      <c r="K859" t="s">
        <v>32</v>
      </c>
      <c r="L859" s="3">
        <v>47</v>
      </c>
      <c r="M859" s="3" t="str" cm="1">
        <f t="array" ref="M859">_xlfn.IFS(
L859&gt;=65,"Retirement Age",
AND(L859&lt;65,L859&gt;=40),"Middle Aged",
AND(L859&lt;40,L859&gt;=30),"In the 30s",
L859&lt;30,"Below 30")</f>
        <v>Middle Aged</v>
      </c>
      <c r="N859" t="s">
        <v>15</v>
      </c>
    </row>
    <row r="860" spans="1:14" x14ac:dyDescent="0.25">
      <c r="A860">
        <v>19147</v>
      </c>
      <c r="B860" t="s">
        <v>36</v>
      </c>
      <c r="C860" t="s">
        <v>38</v>
      </c>
      <c r="D860" s="1">
        <v>40000</v>
      </c>
      <c r="E860" s="3">
        <v>0</v>
      </c>
      <c r="F860" t="s">
        <v>13</v>
      </c>
      <c r="G860" t="s">
        <v>21</v>
      </c>
      <c r="H860" t="s">
        <v>18</v>
      </c>
      <c r="I860" s="3">
        <v>1</v>
      </c>
      <c r="J860" t="s">
        <v>16</v>
      </c>
      <c r="K860" t="s">
        <v>32</v>
      </c>
      <c r="L860" s="3">
        <v>42</v>
      </c>
      <c r="M860" s="3" t="str" cm="1">
        <f t="array" ref="M860">_xlfn.IFS(
L860&gt;=65,"Retirement Age",
AND(L860&lt;65,L860&gt;=40),"Middle Aged",
AND(L860&lt;40,L860&gt;=30),"In the 30s",
L860&lt;30,"Below 30")</f>
        <v>Middle Aged</v>
      </c>
      <c r="N860" t="s">
        <v>18</v>
      </c>
    </row>
    <row r="861" spans="1:14" x14ac:dyDescent="0.25">
      <c r="A861">
        <v>19217</v>
      </c>
      <c r="B861" t="s">
        <v>36</v>
      </c>
      <c r="C861" t="s">
        <v>38</v>
      </c>
      <c r="D861" s="1">
        <v>30000</v>
      </c>
      <c r="E861" s="3">
        <v>2</v>
      </c>
      <c r="F861" t="s">
        <v>27</v>
      </c>
      <c r="G861" t="s">
        <v>14</v>
      </c>
      <c r="H861" t="s">
        <v>15</v>
      </c>
      <c r="I861" s="3">
        <v>2</v>
      </c>
      <c r="J861" t="s">
        <v>26</v>
      </c>
      <c r="K861" t="s">
        <v>32</v>
      </c>
      <c r="L861" s="3">
        <v>49</v>
      </c>
      <c r="M861" s="3" t="str" cm="1">
        <f t="array" ref="M861">_xlfn.IFS(
L861&gt;=65,"Retirement Age",
AND(L861&lt;65,L861&gt;=40),"Middle Aged",
AND(L861&lt;40,L861&gt;=30),"In the 30s",
L861&lt;30,"Below 30")</f>
        <v>Middle Aged</v>
      </c>
      <c r="N861" t="s">
        <v>18</v>
      </c>
    </row>
    <row r="862" spans="1:14" x14ac:dyDescent="0.25">
      <c r="A862">
        <v>15839</v>
      </c>
      <c r="B862" t="s">
        <v>37</v>
      </c>
      <c r="C862" t="s">
        <v>38</v>
      </c>
      <c r="D862" s="1">
        <v>30000</v>
      </c>
      <c r="E862" s="3">
        <v>0</v>
      </c>
      <c r="F862" t="s">
        <v>19</v>
      </c>
      <c r="G862" t="s">
        <v>14</v>
      </c>
      <c r="H862" t="s">
        <v>15</v>
      </c>
      <c r="I862" s="3">
        <v>1</v>
      </c>
      <c r="J862" t="s">
        <v>23</v>
      </c>
      <c r="K862" t="s">
        <v>32</v>
      </c>
      <c r="L862" s="3">
        <v>32</v>
      </c>
      <c r="M862" s="3" t="str" cm="1">
        <f t="array" ref="M862">_xlfn.IFS(
L862&gt;=65,"Retirement Age",
AND(L862&lt;65,L862&gt;=40),"Middle Aged",
AND(L862&lt;40,L862&gt;=30),"In the 30s",
L862&lt;30,"Below 30")</f>
        <v>In the 30s</v>
      </c>
      <c r="N862" t="s">
        <v>18</v>
      </c>
    </row>
    <row r="863" spans="1:14" x14ac:dyDescent="0.25">
      <c r="A863">
        <v>13714</v>
      </c>
      <c r="B863" t="s">
        <v>36</v>
      </c>
      <c r="C863" t="s">
        <v>39</v>
      </c>
      <c r="D863" s="1">
        <v>20000</v>
      </c>
      <c r="E863" s="3">
        <v>2</v>
      </c>
      <c r="F863" t="s">
        <v>27</v>
      </c>
      <c r="G863" t="s">
        <v>25</v>
      </c>
      <c r="H863" t="s">
        <v>18</v>
      </c>
      <c r="I863" s="3">
        <v>2</v>
      </c>
      <c r="J863" t="s">
        <v>26</v>
      </c>
      <c r="K863" t="s">
        <v>32</v>
      </c>
      <c r="L863" s="3">
        <v>53</v>
      </c>
      <c r="M863" s="3" t="str" cm="1">
        <f t="array" ref="M863">_xlfn.IFS(
L863&gt;=65,"Retirement Age",
AND(L863&lt;65,L863&gt;=40),"Middle Aged",
AND(L863&lt;40,L863&gt;=30),"In the 30s",
L863&lt;30,"Below 30")</f>
        <v>Middle Aged</v>
      </c>
      <c r="N863" t="s">
        <v>15</v>
      </c>
    </row>
    <row r="864" spans="1:14" x14ac:dyDescent="0.25">
      <c r="A864">
        <v>22330</v>
      </c>
      <c r="B864" t="s">
        <v>36</v>
      </c>
      <c r="C864" t="s">
        <v>38</v>
      </c>
      <c r="D864" s="1">
        <v>50000</v>
      </c>
      <c r="E864" s="3">
        <v>0</v>
      </c>
      <c r="F864" t="s">
        <v>31</v>
      </c>
      <c r="G864" t="s">
        <v>14</v>
      </c>
      <c r="H864" t="s">
        <v>15</v>
      </c>
      <c r="I864" s="3">
        <v>0</v>
      </c>
      <c r="J864" t="s">
        <v>26</v>
      </c>
      <c r="K864" t="s">
        <v>32</v>
      </c>
      <c r="L864" s="3">
        <v>32</v>
      </c>
      <c r="M864" s="3" t="str" cm="1">
        <f t="array" ref="M864">_xlfn.IFS(
L864&gt;=65,"Retirement Age",
AND(L864&lt;65,L864&gt;=40),"Middle Aged",
AND(L864&lt;40,L864&gt;=30),"In the 30s",
L864&lt;30,"Below 30")</f>
        <v>In the 30s</v>
      </c>
      <c r="N864" t="s">
        <v>15</v>
      </c>
    </row>
    <row r="865" spans="1:14" x14ac:dyDescent="0.25">
      <c r="A865">
        <v>18783</v>
      </c>
      <c r="B865" t="s">
        <v>37</v>
      </c>
      <c r="C865" t="s">
        <v>38</v>
      </c>
      <c r="D865" s="1">
        <v>80000</v>
      </c>
      <c r="E865" s="3">
        <v>0</v>
      </c>
      <c r="F865" t="s">
        <v>13</v>
      </c>
      <c r="G865" t="s">
        <v>28</v>
      </c>
      <c r="H865" t="s">
        <v>18</v>
      </c>
      <c r="I865" s="3">
        <v>1</v>
      </c>
      <c r="J865" t="s">
        <v>16</v>
      </c>
      <c r="K865" t="s">
        <v>32</v>
      </c>
      <c r="L865" s="3">
        <v>38</v>
      </c>
      <c r="M865" s="3" t="str" cm="1">
        <f t="array" ref="M865">_xlfn.IFS(
L865&gt;=65,"Retirement Age",
AND(L865&lt;65,L865&gt;=40),"Middle Aged",
AND(L865&lt;40,L865&gt;=30),"In the 30s",
L865&lt;30,"Below 30")</f>
        <v>In the 30s</v>
      </c>
      <c r="N865" t="s">
        <v>15</v>
      </c>
    </row>
    <row r="866" spans="1:14" x14ac:dyDescent="0.25">
      <c r="A866">
        <v>25041</v>
      </c>
      <c r="B866" t="s">
        <v>37</v>
      </c>
      <c r="C866" t="s">
        <v>38</v>
      </c>
      <c r="D866" s="1">
        <v>40000</v>
      </c>
      <c r="E866" s="3">
        <v>0</v>
      </c>
      <c r="F866" t="s">
        <v>27</v>
      </c>
      <c r="G866" t="s">
        <v>14</v>
      </c>
      <c r="H866" t="s">
        <v>15</v>
      </c>
      <c r="I866" s="3">
        <v>2</v>
      </c>
      <c r="J866" t="s">
        <v>23</v>
      </c>
      <c r="K866" t="s">
        <v>32</v>
      </c>
      <c r="L866" s="3">
        <v>31</v>
      </c>
      <c r="M866" s="3" t="str" cm="1">
        <f t="array" ref="M866">_xlfn.IFS(
L866&gt;=65,"Retirement Age",
AND(L866&lt;65,L866&gt;=40),"Middle Aged",
AND(L866&lt;40,L866&gt;=30),"In the 30s",
L866&lt;30,"Below 30")</f>
        <v>In the 30s</v>
      </c>
      <c r="N866" t="s">
        <v>18</v>
      </c>
    </row>
    <row r="867" spans="1:14" x14ac:dyDescent="0.25">
      <c r="A867">
        <v>22046</v>
      </c>
      <c r="B867" t="s">
        <v>37</v>
      </c>
      <c r="C867" t="s">
        <v>39</v>
      </c>
      <c r="D867" s="1">
        <v>80000</v>
      </c>
      <c r="E867" s="3">
        <v>0</v>
      </c>
      <c r="F867" t="s">
        <v>13</v>
      </c>
      <c r="G867" t="s">
        <v>28</v>
      </c>
      <c r="H867" t="s">
        <v>18</v>
      </c>
      <c r="I867" s="3">
        <v>1</v>
      </c>
      <c r="J867" t="s">
        <v>16</v>
      </c>
      <c r="K867" t="s">
        <v>32</v>
      </c>
      <c r="L867" s="3">
        <v>38</v>
      </c>
      <c r="M867" s="3" t="str" cm="1">
        <f t="array" ref="M867">_xlfn.IFS(
L867&gt;=65,"Retirement Age",
AND(L867&lt;65,L867&gt;=40),"Middle Aged",
AND(L867&lt;40,L867&gt;=30),"In the 30s",
L867&lt;30,"Below 30")</f>
        <v>In the 30s</v>
      </c>
      <c r="N867" t="s">
        <v>15</v>
      </c>
    </row>
    <row r="868" spans="1:14" x14ac:dyDescent="0.25">
      <c r="A868">
        <v>28052</v>
      </c>
      <c r="B868" t="s">
        <v>36</v>
      </c>
      <c r="C868" t="s">
        <v>38</v>
      </c>
      <c r="D868" s="1">
        <v>60000</v>
      </c>
      <c r="E868" s="3">
        <v>2</v>
      </c>
      <c r="F868" t="s">
        <v>27</v>
      </c>
      <c r="G868" t="s">
        <v>21</v>
      </c>
      <c r="H868" t="s">
        <v>15</v>
      </c>
      <c r="I868" s="3">
        <v>2</v>
      </c>
      <c r="J868" t="s">
        <v>45</v>
      </c>
      <c r="K868" t="s">
        <v>32</v>
      </c>
      <c r="L868" s="3">
        <v>55</v>
      </c>
      <c r="M868" s="3" t="str" cm="1">
        <f t="array" ref="M868">_xlfn.IFS(
L868&gt;=65,"Retirement Age",
AND(L868&lt;65,L868&gt;=40),"Middle Aged",
AND(L868&lt;40,L868&gt;=30),"In the 30s",
L868&lt;30,"Below 30")</f>
        <v>Middle Aged</v>
      </c>
      <c r="N868" t="s">
        <v>18</v>
      </c>
    </row>
    <row r="869" spans="1:14" x14ac:dyDescent="0.25">
      <c r="A869">
        <v>26693</v>
      </c>
      <c r="B869" t="s">
        <v>36</v>
      </c>
      <c r="C869" t="s">
        <v>38</v>
      </c>
      <c r="D869" s="1">
        <v>70000</v>
      </c>
      <c r="E869" s="3">
        <v>3</v>
      </c>
      <c r="F869" t="s">
        <v>19</v>
      </c>
      <c r="G869" t="s">
        <v>21</v>
      </c>
      <c r="H869" t="s">
        <v>15</v>
      </c>
      <c r="I869" s="3">
        <v>1</v>
      </c>
      <c r="J869" t="s">
        <v>23</v>
      </c>
      <c r="K869" t="s">
        <v>32</v>
      </c>
      <c r="L869" s="3">
        <v>49</v>
      </c>
      <c r="M869" s="3" t="str" cm="1">
        <f t="array" ref="M869">_xlfn.IFS(
L869&gt;=65,"Retirement Age",
AND(L869&lt;65,L869&gt;=40),"Middle Aged",
AND(L869&lt;40,L869&gt;=30),"In the 30s",
L869&lt;30,"Below 30")</f>
        <v>Middle Aged</v>
      </c>
      <c r="N869" t="s">
        <v>18</v>
      </c>
    </row>
    <row r="870" spans="1:14" x14ac:dyDescent="0.25">
      <c r="A870">
        <v>24955</v>
      </c>
      <c r="B870" t="s">
        <v>37</v>
      </c>
      <c r="C870" t="s">
        <v>38</v>
      </c>
      <c r="D870" s="1">
        <v>30000</v>
      </c>
      <c r="E870" s="3">
        <v>5</v>
      </c>
      <c r="F870" t="s">
        <v>29</v>
      </c>
      <c r="G870" t="s">
        <v>14</v>
      </c>
      <c r="H870" t="s">
        <v>15</v>
      </c>
      <c r="I870" s="3">
        <v>3</v>
      </c>
      <c r="J870" t="s">
        <v>45</v>
      </c>
      <c r="K870" t="s">
        <v>32</v>
      </c>
      <c r="L870" s="3">
        <v>60</v>
      </c>
      <c r="M870" s="3" t="str" cm="1">
        <f t="array" ref="M870">_xlfn.IFS(
L870&gt;=65,"Retirement Age",
AND(L870&lt;65,L870&gt;=40),"Middle Aged",
AND(L870&lt;40,L870&gt;=30),"In the 30s",
L870&lt;30,"Below 30")</f>
        <v>Middle Aged</v>
      </c>
      <c r="N870" t="s">
        <v>15</v>
      </c>
    </row>
    <row r="871" spans="1:14" x14ac:dyDescent="0.25">
      <c r="A871">
        <v>26065</v>
      </c>
      <c r="B871" t="s">
        <v>37</v>
      </c>
      <c r="C871" t="s">
        <v>39</v>
      </c>
      <c r="D871" s="1">
        <v>110000</v>
      </c>
      <c r="E871" s="3">
        <v>3</v>
      </c>
      <c r="F871" t="s">
        <v>13</v>
      </c>
      <c r="G871" t="s">
        <v>28</v>
      </c>
      <c r="H871" t="s">
        <v>18</v>
      </c>
      <c r="I871" s="3">
        <v>4</v>
      </c>
      <c r="J871" t="s">
        <v>26</v>
      </c>
      <c r="K871" t="s">
        <v>32</v>
      </c>
      <c r="L871" s="3">
        <v>42</v>
      </c>
      <c r="M871" s="3" t="str" cm="1">
        <f t="array" ref="M871">_xlfn.IFS(
L871&gt;=65,"Retirement Age",
AND(L871&lt;65,L871&gt;=40),"Middle Aged",
AND(L871&lt;40,L871&gt;=30),"In the 30s",
L871&lt;30,"Below 30")</f>
        <v>Middle Aged</v>
      </c>
      <c r="N871" t="s">
        <v>18</v>
      </c>
    </row>
    <row r="872" spans="1:14" x14ac:dyDescent="0.25">
      <c r="A872">
        <v>13942</v>
      </c>
      <c r="B872" t="s">
        <v>36</v>
      </c>
      <c r="C872" t="s">
        <v>38</v>
      </c>
      <c r="D872" s="1">
        <v>60000</v>
      </c>
      <c r="E872" s="3">
        <v>1</v>
      </c>
      <c r="F872" t="s">
        <v>19</v>
      </c>
      <c r="G872" t="s">
        <v>14</v>
      </c>
      <c r="H872" t="s">
        <v>15</v>
      </c>
      <c r="I872" s="3">
        <v>1</v>
      </c>
      <c r="J872" t="s">
        <v>16</v>
      </c>
      <c r="K872" t="s">
        <v>32</v>
      </c>
      <c r="L872" s="3">
        <v>46</v>
      </c>
      <c r="M872" s="3" t="str" cm="1">
        <f t="array" ref="M872">_xlfn.IFS(
L872&gt;=65,"Retirement Age",
AND(L872&lt;65,L872&gt;=40),"Middle Aged",
AND(L872&lt;40,L872&gt;=30),"In the 30s",
L872&lt;30,"Below 30")</f>
        <v>Middle Aged</v>
      </c>
      <c r="N872" t="s">
        <v>18</v>
      </c>
    </row>
    <row r="873" spans="1:14" x14ac:dyDescent="0.25">
      <c r="A873">
        <v>11219</v>
      </c>
      <c r="B873" t="s">
        <v>36</v>
      </c>
      <c r="C873" t="s">
        <v>38</v>
      </c>
      <c r="D873" s="1">
        <v>60000</v>
      </c>
      <c r="E873" s="3">
        <v>2</v>
      </c>
      <c r="F873" t="s">
        <v>27</v>
      </c>
      <c r="G873" t="s">
        <v>21</v>
      </c>
      <c r="H873" t="s">
        <v>15</v>
      </c>
      <c r="I873" s="3">
        <v>2</v>
      </c>
      <c r="J873" t="s">
        <v>45</v>
      </c>
      <c r="K873" t="s">
        <v>32</v>
      </c>
      <c r="L873" s="3">
        <v>55</v>
      </c>
      <c r="M873" s="3" t="str" cm="1">
        <f t="array" ref="M873">_xlfn.IFS(
L873&gt;=65,"Retirement Age",
AND(L873&lt;65,L873&gt;=40),"Middle Aged",
AND(L873&lt;40,L873&gt;=30),"In the 30s",
L873&lt;30,"Below 30")</f>
        <v>Middle Aged</v>
      </c>
      <c r="N873" t="s">
        <v>18</v>
      </c>
    </row>
    <row r="874" spans="1:14" x14ac:dyDescent="0.25">
      <c r="A874">
        <v>22118</v>
      </c>
      <c r="B874" t="s">
        <v>37</v>
      </c>
      <c r="C874" t="s">
        <v>39</v>
      </c>
      <c r="D874" s="1">
        <v>70000</v>
      </c>
      <c r="E874" s="3">
        <v>3</v>
      </c>
      <c r="F874" t="s">
        <v>31</v>
      </c>
      <c r="G874" t="s">
        <v>28</v>
      </c>
      <c r="H874" t="s">
        <v>15</v>
      </c>
      <c r="I874" s="3">
        <v>2</v>
      </c>
      <c r="J874" t="s">
        <v>23</v>
      </c>
      <c r="K874" t="s">
        <v>32</v>
      </c>
      <c r="L874" s="3">
        <v>53</v>
      </c>
      <c r="M874" s="3" t="str" cm="1">
        <f t="array" ref="M874">_xlfn.IFS(
L874&gt;=65,"Retirement Age",
AND(L874&lt;65,L874&gt;=40),"Middle Aged",
AND(L874&lt;40,L874&gt;=30),"In the 30s",
L874&lt;30,"Below 30")</f>
        <v>Middle Aged</v>
      </c>
      <c r="N874" t="s">
        <v>15</v>
      </c>
    </row>
    <row r="875" spans="1:14" x14ac:dyDescent="0.25">
      <c r="A875">
        <v>23197</v>
      </c>
      <c r="B875" t="s">
        <v>36</v>
      </c>
      <c r="C875" t="s">
        <v>38</v>
      </c>
      <c r="D875" s="1">
        <v>50000</v>
      </c>
      <c r="E875" s="3">
        <v>3</v>
      </c>
      <c r="F875" t="s">
        <v>13</v>
      </c>
      <c r="G875" t="s">
        <v>14</v>
      </c>
      <c r="H875" t="s">
        <v>15</v>
      </c>
      <c r="I875" s="3">
        <v>2</v>
      </c>
      <c r="J875" t="s">
        <v>22</v>
      </c>
      <c r="K875" t="s">
        <v>32</v>
      </c>
      <c r="L875" s="3">
        <v>40</v>
      </c>
      <c r="M875" s="3" t="str" cm="1">
        <f t="array" ref="M875">_xlfn.IFS(
L875&gt;=65,"Retirement Age",
AND(L875&lt;65,L875&gt;=40),"Middle Aged",
AND(L875&lt;40,L875&gt;=30),"In the 30s",
L875&lt;30,"Below 30")</f>
        <v>Middle Aged</v>
      </c>
      <c r="N875" t="s">
        <v>18</v>
      </c>
    </row>
    <row r="876" spans="1:14" x14ac:dyDescent="0.25">
      <c r="A876">
        <v>14883</v>
      </c>
      <c r="B876" t="s">
        <v>36</v>
      </c>
      <c r="C876" t="s">
        <v>39</v>
      </c>
      <c r="D876" s="1">
        <v>30000</v>
      </c>
      <c r="E876" s="3">
        <v>1</v>
      </c>
      <c r="F876" t="s">
        <v>13</v>
      </c>
      <c r="G876" t="s">
        <v>14</v>
      </c>
      <c r="H876" t="s">
        <v>15</v>
      </c>
      <c r="I876" s="3">
        <v>1</v>
      </c>
      <c r="J876" t="s">
        <v>23</v>
      </c>
      <c r="K876" t="s">
        <v>32</v>
      </c>
      <c r="L876" s="3">
        <v>53</v>
      </c>
      <c r="M876" s="3" t="str" cm="1">
        <f t="array" ref="M876">_xlfn.IFS(
L876&gt;=65,"Retirement Age",
AND(L876&lt;65,L876&gt;=40),"Middle Aged",
AND(L876&lt;40,L876&gt;=30),"In the 30s",
L876&lt;30,"Below 30")</f>
        <v>Middle Aged</v>
      </c>
      <c r="N876" t="s">
        <v>15</v>
      </c>
    </row>
    <row r="877" spans="1:14" x14ac:dyDescent="0.25">
      <c r="A877">
        <v>27279</v>
      </c>
      <c r="B877" t="s">
        <v>37</v>
      </c>
      <c r="C877" t="s">
        <v>39</v>
      </c>
      <c r="D877" s="1">
        <v>70000</v>
      </c>
      <c r="E877" s="3">
        <v>2</v>
      </c>
      <c r="F877" t="s">
        <v>13</v>
      </c>
      <c r="G877" t="s">
        <v>14</v>
      </c>
      <c r="H877" t="s">
        <v>15</v>
      </c>
      <c r="I877" s="3">
        <v>0</v>
      </c>
      <c r="J877" t="s">
        <v>22</v>
      </c>
      <c r="K877" t="s">
        <v>32</v>
      </c>
      <c r="L877" s="3">
        <v>38</v>
      </c>
      <c r="M877" s="3" t="str" cm="1">
        <f t="array" ref="M877">_xlfn.IFS(
L877&gt;=65,"Retirement Age",
AND(L877&lt;65,L877&gt;=40),"Middle Aged",
AND(L877&lt;40,L877&gt;=30),"In the 30s",
L877&lt;30,"Below 30")</f>
        <v>In the 30s</v>
      </c>
      <c r="N877" t="s">
        <v>15</v>
      </c>
    </row>
    <row r="878" spans="1:14" x14ac:dyDescent="0.25">
      <c r="A878">
        <v>18322</v>
      </c>
      <c r="B878" t="s">
        <v>37</v>
      </c>
      <c r="C878" t="s">
        <v>38</v>
      </c>
      <c r="D878" s="1">
        <v>30000</v>
      </c>
      <c r="E878" s="3">
        <v>0</v>
      </c>
      <c r="F878" t="s">
        <v>29</v>
      </c>
      <c r="G878" t="s">
        <v>20</v>
      </c>
      <c r="H878" t="s">
        <v>18</v>
      </c>
      <c r="I878" s="3">
        <v>2</v>
      </c>
      <c r="J878" t="s">
        <v>16</v>
      </c>
      <c r="K878" t="s">
        <v>32</v>
      </c>
      <c r="L878" s="3">
        <v>26</v>
      </c>
      <c r="M878" s="3" t="str" cm="1">
        <f t="array" ref="M878">_xlfn.IFS(
L878&gt;=65,"Retirement Age",
AND(L878&lt;65,L878&gt;=40),"Middle Aged",
AND(L878&lt;40,L878&gt;=30),"In the 30s",
L878&lt;30,"Below 30")</f>
        <v>Below 30</v>
      </c>
      <c r="N878" t="s">
        <v>18</v>
      </c>
    </row>
    <row r="879" spans="1:14" x14ac:dyDescent="0.25">
      <c r="A879">
        <v>15879</v>
      </c>
      <c r="B879" t="s">
        <v>36</v>
      </c>
      <c r="C879" t="s">
        <v>38</v>
      </c>
      <c r="D879" s="1">
        <v>70000</v>
      </c>
      <c r="E879" s="3">
        <v>5</v>
      </c>
      <c r="F879" t="s">
        <v>13</v>
      </c>
      <c r="G879" t="s">
        <v>28</v>
      </c>
      <c r="H879" t="s">
        <v>15</v>
      </c>
      <c r="I879" s="3">
        <v>2</v>
      </c>
      <c r="J879" t="s">
        <v>22</v>
      </c>
      <c r="K879" t="s">
        <v>32</v>
      </c>
      <c r="L879" s="3">
        <v>61</v>
      </c>
      <c r="M879" s="3" t="str" cm="1">
        <f t="array" ref="M879">_xlfn.IFS(
L879&gt;=65,"Retirement Age",
AND(L879&lt;65,L879&gt;=40),"Middle Aged",
AND(L879&lt;40,L879&gt;=30),"In the 30s",
L879&lt;30,"Below 30")</f>
        <v>Middle Aged</v>
      </c>
      <c r="N879" t="s">
        <v>18</v>
      </c>
    </row>
    <row r="880" spans="1:14" x14ac:dyDescent="0.25">
      <c r="A880">
        <v>28278</v>
      </c>
      <c r="B880" t="s">
        <v>36</v>
      </c>
      <c r="C880" t="s">
        <v>38</v>
      </c>
      <c r="D880" s="1">
        <v>50000</v>
      </c>
      <c r="E880" s="3">
        <v>2</v>
      </c>
      <c r="F880" t="s">
        <v>31</v>
      </c>
      <c r="G880" t="s">
        <v>28</v>
      </c>
      <c r="H880" t="s">
        <v>15</v>
      </c>
      <c r="I880" s="3">
        <v>2</v>
      </c>
      <c r="J880" t="s">
        <v>23</v>
      </c>
      <c r="K880" t="s">
        <v>32</v>
      </c>
      <c r="L880" s="3">
        <v>71</v>
      </c>
      <c r="M880" s="3" t="str" cm="1">
        <f t="array" ref="M880">_xlfn.IFS(
L880&gt;=65,"Retirement Age",
AND(L880&lt;65,L880&gt;=40),"Middle Aged",
AND(L880&lt;40,L880&gt;=30),"In the 30s",
L880&lt;30,"Below 30")</f>
        <v>Retirement Age</v>
      </c>
      <c r="N880" t="s">
        <v>18</v>
      </c>
    </row>
    <row r="881" spans="1:14" x14ac:dyDescent="0.25">
      <c r="A881">
        <v>24416</v>
      </c>
      <c r="B881" t="s">
        <v>36</v>
      </c>
      <c r="C881" t="s">
        <v>38</v>
      </c>
      <c r="D881" s="1">
        <v>90000</v>
      </c>
      <c r="E881" s="3">
        <v>4</v>
      </c>
      <c r="F881" t="s">
        <v>27</v>
      </c>
      <c r="G881" t="s">
        <v>21</v>
      </c>
      <c r="H881" t="s">
        <v>15</v>
      </c>
      <c r="I881" s="3">
        <v>2</v>
      </c>
      <c r="J881" t="s">
        <v>26</v>
      </c>
      <c r="K881" t="s">
        <v>32</v>
      </c>
      <c r="L881" s="3">
        <v>45</v>
      </c>
      <c r="M881" s="3" t="str" cm="1">
        <f t="array" ref="M881">_xlfn.IFS(
L881&gt;=65,"Retirement Age",
AND(L881&lt;65,L881&gt;=40),"Middle Aged",
AND(L881&lt;40,L881&gt;=30),"In the 30s",
L881&lt;30,"Below 30")</f>
        <v>Middle Aged</v>
      </c>
      <c r="N881" t="s">
        <v>18</v>
      </c>
    </row>
    <row r="882" spans="1:14" x14ac:dyDescent="0.25">
      <c r="A882">
        <v>28066</v>
      </c>
      <c r="B882" t="s">
        <v>36</v>
      </c>
      <c r="C882" t="s">
        <v>38</v>
      </c>
      <c r="D882" s="1">
        <v>80000</v>
      </c>
      <c r="E882" s="3">
        <v>2</v>
      </c>
      <c r="F882" t="s">
        <v>31</v>
      </c>
      <c r="G882" t="s">
        <v>21</v>
      </c>
      <c r="H882" t="s">
        <v>15</v>
      </c>
      <c r="I882" s="3">
        <v>0</v>
      </c>
      <c r="J882" t="s">
        <v>16</v>
      </c>
      <c r="K882" t="s">
        <v>32</v>
      </c>
      <c r="L882" s="3">
        <v>37</v>
      </c>
      <c r="M882" s="3" t="str" cm="1">
        <f t="array" ref="M882">_xlfn.IFS(
L882&gt;=65,"Retirement Age",
AND(L882&lt;65,L882&gt;=40),"Middle Aged",
AND(L882&lt;40,L882&gt;=30),"In the 30s",
L882&lt;30,"Below 30")</f>
        <v>In the 30s</v>
      </c>
      <c r="N882" t="s">
        <v>15</v>
      </c>
    </row>
    <row r="883" spans="1:14" x14ac:dyDescent="0.25">
      <c r="A883">
        <v>11275</v>
      </c>
      <c r="B883" t="s">
        <v>36</v>
      </c>
      <c r="C883" t="s">
        <v>39</v>
      </c>
      <c r="D883" s="1">
        <v>80000</v>
      </c>
      <c r="E883" s="3">
        <v>4</v>
      </c>
      <c r="F883" t="s">
        <v>31</v>
      </c>
      <c r="G883" t="s">
        <v>28</v>
      </c>
      <c r="H883" t="s">
        <v>15</v>
      </c>
      <c r="I883" s="3">
        <v>2</v>
      </c>
      <c r="J883" t="s">
        <v>16</v>
      </c>
      <c r="K883" t="s">
        <v>32</v>
      </c>
      <c r="L883" s="3">
        <v>72</v>
      </c>
      <c r="M883" s="3" t="str" cm="1">
        <f t="array" ref="M883">_xlfn.IFS(
L883&gt;=65,"Retirement Age",
AND(L883&lt;65,L883&gt;=40),"Middle Aged",
AND(L883&lt;40,L883&gt;=30),"In the 30s",
L883&lt;30,"Below 30")</f>
        <v>Retirement Age</v>
      </c>
      <c r="N883" t="s">
        <v>15</v>
      </c>
    </row>
    <row r="884" spans="1:14" x14ac:dyDescent="0.25">
      <c r="A884">
        <v>14872</v>
      </c>
      <c r="B884" t="s">
        <v>36</v>
      </c>
      <c r="C884" t="s">
        <v>38</v>
      </c>
      <c r="D884" s="1">
        <v>30000</v>
      </c>
      <c r="E884" s="3">
        <v>0</v>
      </c>
      <c r="F884" t="s">
        <v>31</v>
      </c>
      <c r="G884" t="s">
        <v>14</v>
      </c>
      <c r="H884" t="s">
        <v>15</v>
      </c>
      <c r="I884" s="3">
        <v>0</v>
      </c>
      <c r="J884" t="s">
        <v>16</v>
      </c>
      <c r="K884" t="s">
        <v>32</v>
      </c>
      <c r="L884" s="3">
        <v>32</v>
      </c>
      <c r="M884" s="3" t="str" cm="1">
        <f t="array" ref="M884">_xlfn.IFS(
L884&gt;=65,"Retirement Age",
AND(L884&lt;65,L884&gt;=40),"Middle Aged",
AND(L884&lt;40,L884&gt;=30),"In the 30s",
L884&lt;30,"Below 30")</f>
        <v>In the 30s</v>
      </c>
      <c r="N884" t="s">
        <v>18</v>
      </c>
    </row>
    <row r="885" spans="1:14" x14ac:dyDescent="0.25">
      <c r="A885">
        <v>16151</v>
      </c>
      <c r="B885" t="s">
        <v>36</v>
      </c>
      <c r="C885" t="s">
        <v>39</v>
      </c>
      <c r="D885" s="1">
        <v>60000</v>
      </c>
      <c r="E885" s="3">
        <v>1</v>
      </c>
      <c r="F885" t="s">
        <v>13</v>
      </c>
      <c r="G885" t="s">
        <v>21</v>
      </c>
      <c r="H885" t="s">
        <v>15</v>
      </c>
      <c r="I885" s="3">
        <v>1</v>
      </c>
      <c r="J885" t="s">
        <v>22</v>
      </c>
      <c r="K885" t="s">
        <v>32</v>
      </c>
      <c r="L885" s="3">
        <v>48</v>
      </c>
      <c r="M885" s="3" t="str" cm="1">
        <f t="array" ref="M885">_xlfn.IFS(
L885&gt;=65,"Retirement Age",
AND(L885&lt;65,L885&gt;=40),"Middle Aged",
AND(L885&lt;40,L885&gt;=30),"In the 30s",
L885&lt;30,"Below 30")</f>
        <v>Middle Aged</v>
      </c>
      <c r="N885" t="s">
        <v>15</v>
      </c>
    </row>
    <row r="886" spans="1:14" x14ac:dyDescent="0.25">
      <c r="A886">
        <v>19731</v>
      </c>
      <c r="B886" t="s">
        <v>36</v>
      </c>
      <c r="C886" t="s">
        <v>38</v>
      </c>
      <c r="D886" s="1">
        <v>80000</v>
      </c>
      <c r="E886" s="3">
        <v>4</v>
      </c>
      <c r="F886" t="s">
        <v>31</v>
      </c>
      <c r="G886" t="s">
        <v>28</v>
      </c>
      <c r="H886" t="s">
        <v>15</v>
      </c>
      <c r="I886" s="3">
        <v>2</v>
      </c>
      <c r="J886" t="s">
        <v>23</v>
      </c>
      <c r="K886" t="s">
        <v>32</v>
      </c>
      <c r="L886" s="3">
        <v>68</v>
      </c>
      <c r="M886" s="3" t="str" cm="1">
        <f t="array" ref="M886">_xlfn.IFS(
L886&gt;=65,"Retirement Age",
AND(L886&lt;65,L886&gt;=40),"Middle Aged",
AND(L886&lt;40,L886&gt;=30),"In the 30s",
L886&lt;30,"Below 30")</f>
        <v>Retirement Age</v>
      </c>
      <c r="N886" t="s">
        <v>18</v>
      </c>
    </row>
    <row r="887" spans="1:14" x14ac:dyDescent="0.25">
      <c r="A887">
        <v>23801</v>
      </c>
      <c r="B887" t="s">
        <v>36</v>
      </c>
      <c r="C887" t="s">
        <v>39</v>
      </c>
      <c r="D887" s="1">
        <v>20000</v>
      </c>
      <c r="E887" s="3">
        <v>2</v>
      </c>
      <c r="F887" t="s">
        <v>29</v>
      </c>
      <c r="G887" t="s">
        <v>20</v>
      </c>
      <c r="H887" t="s">
        <v>15</v>
      </c>
      <c r="I887" s="3">
        <v>2</v>
      </c>
      <c r="J887" t="s">
        <v>16</v>
      </c>
      <c r="K887" t="s">
        <v>32</v>
      </c>
      <c r="L887" s="3">
        <v>49</v>
      </c>
      <c r="M887" s="3" t="str" cm="1">
        <f t="array" ref="M887">_xlfn.IFS(
L887&gt;=65,"Retirement Age",
AND(L887&lt;65,L887&gt;=40),"Middle Aged",
AND(L887&lt;40,L887&gt;=30),"In the 30s",
L887&lt;30,"Below 30")</f>
        <v>Middle Aged</v>
      </c>
      <c r="N887" t="s">
        <v>18</v>
      </c>
    </row>
    <row r="888" spans="1:14" x14ac:dyDescent="0.25">
      <c r="A888">
        <v>11807</v>
      </c>
      <c r="B888" t="s">
        <v>36</v>
      </c>
      <c r="C888" t="s">
        <v>38</v>
      </c>
      <c r="D888" s="1">
        <v>70000</v>
      </c>
      <c r="E888" s="3">
        <v>3</v>
      </c>
      <c r="F888" t="s">
        <v>31</v>
      </c>
      <c r="G888" t="s">
        <v>21</v>
      </c>
      <c r="H888" t="s">
        <v>15</v>
      </c>
      <c r="I888" s="3">
        <v>0</v>
      </c>
      <c r="J888" t="s">
        <v>22</v>
      </c>
      <c r="K888" t="s">
        <v>32</v>
      </c>
      <c r="L888" s="3">
        <v>34</v>
      </c>
      <c r="M888" s="3" t="str" cm="1">
        <f t="array" ref="M888">_xlfn.IFS(
L888&gt;=65,"Retirement Age",
AND(L888&lt;65,L888&gt;=40),"Middle Aged",
AND(L888&lt;40,L888&gt;=30),"In the 30s",
L888&lt;30,"Below 30")</f>
        <v>In the 30s</v>
      </c>
      <c r="N888" t="s">
        <v>18</v>
      </c>
    </row>
    <row r="889" spans="1:14" x14ac:dyDescent="0.25">
      <c r="A889">
        <v>11622</v>
      </c>
      <c r="B889" t="s">
        <v>36</v>
      </c>
      <c r="C889" t="s">
        <v>38</v>
      </c>
      <c r="D889" s="1">
        <v>50000</v>
      </c>
      <c r="E889" s="3">
        <v>0</v>
      </c>
      <c r="F889" t="s">
        <v>31</v>
      </c>
      <c r="G889" t="s">
        <v>14</v>
      </c>
      <c r="H889" t="s">
        <v>15</v>
      </c>
      <c r="I889" s="3">
        <v>0</v>
      </c>
      <c r="J889" t="s">
        <v>16</v>
      </c>
      <c r="K889" t="s">
        <v>32</v>
      </c>
      <c r="L889" s="3">
        <v>32</v>
      </c>
      <c r="M889" s="3" t="str" cm="1">
        <f t="array" ref="M889">_xlfn.IFS(
L889&gt;=65,"Retirement Age",
AND(L889&lt;65,L889&gt;=40),"Middle Aged",
AND(L889&lt;40,L889&gt;=30),"In the 30s",
L889&lt;30,"Below 30")</f>
        <v>In the 30s</v>
      </c>
      <c r="N889" t="s">
        <v>18</v>
      </c>
    </row>
    <row r="890" spans="1:14" x14ac:dyDescent="0.25">
      <c r="A890">
        <v>26597</v>
      </c>
      <c r="B890" t="s">
        <v>37</v>
      </c>
      <c r="C890" t="s">
        <v>39</v>
      </c>
      <c r="D890" s="1">
        <v>60000</v>
      </c>
      <c r="E890" s="3">
        <v>4</v>
      </c>
      <c r="F890" t="s">
        <v>13</v>
      </c>
      <c r="G890" t="s">
        <v>14</v>
      </c>
      <c r="H890" t="s">
        <v>18</v>
      </c>
      <c r="I890" s="3">
        <v>2</v>
      </c>
      <c r="J890" t="s">
        <v>16</v>
      </c>
      <c r="K890" t="s">
        <v>32</v>
      </c>
      <c r="L890" s="3">
        <v>42</v>
      </c>
      <c r="M890" s="3" t="str" cm="1">
        <f t="array" ref="M890">_xlfn.IFS(
L890&gt;=65,"Retirement Age",
AND(L890&lt;65,L890&gt;=40),"Middle Aged",
AND(L890&lt;40,L890&gt;=30),"In the 30s",
L890&lt;30,"Below 30")</f>
        <v>Middle Aged</v>
      </c>
      <c r="N890" t="s">
        <v>18</v>
      </c>
    </row>
    <row r="891" spans="1:14" x14ac:dyDescent="0.25">
      <c r="A891">
        <v>27074</v>
      </c>
      <c r="B891" t="s">
        <v>36</v>
      </c>
      <c r="C891" t="s">
        <v>39</v>
      </c>
      <c r="D891" s="1">
        <v>70000</v>
      </c>
      <c r="E891" s="3">
        <v>1</v>
      </c>
      <c r="F891" t="s">
        <v>31</v>
      </c>
      <c r="G891" t="s">
        <v>14</v>
      </c>
      <c r="H891" t="s">
        <v>15</v>
      </c>
      <c r="I891" s="3">
        <v>0</v>
      </c>
      <c r="J891" t="s">
        <v>16</v>
      </c>
      <c r="K891" t="s">
        <v>32</v>
      </c>
      <c r="L891" s="3">
        <v>35</v>
      </c>
      <c r="M891" s="3" t="str" cm="1">
        <f t="array" ref="M891">_xlfn.IFS(
L891&gt;=65,"Retirement Age",
AND(L891&lt;65,L891&gt;=40),"Middle Aged",
AND(L891&lt;40,L891&gt;=30),"In the 30s",
L891&lt;30,"Below 30")</f>
        <v>In the 30s</v>
      </c>
      <c r="N891" t="s">
        <v>15</v>
      </c>
    </row>
    <row r="892" spans="1:14" x14ac:dyDescent="0.25">
      <c r="A892">
        <v>19228</v>
      </c>
      <c r="B892" t="s">
        <v>36</v>
      </c>
      <c r="C892" t="s">
        <v>39</v>
      </c>
      <c r="D892" s="1">
        <v>40000</v>
      </c>
      <c r="E892" s="3">
        <v>2</v>
      </c>
      <c r="F892" t="s">
        <v>19</v>
      </c>
      <c r="G892" t="s">
        <v>20</v>
      </c>
      <c r="H892" t="s">
        <v>15</v>
      </c>
      <c r="I892" s="3">
        <v>1</v>
      </c>
      <c r="J892" t="s">
        <v>16</v>
      </c>
      <c r="K892" t="s">
        <v>32</v>
      </c>
      <c r="L892" s="3">
        <v>48</v>
      </c>
      <c r="M892" s="3" t="str" cm="1">
        <f t="array" ref="M892">_xlfn.IFS(
L892&gt;=65,"Retirement Age",
AND(L892&lt;65,L892&gt;=40),"Middle Aged",
AND(L892&lt;40,L892&gt;=30),"In the 30s",
L892&lt;30,"Below 30")</f>
        <v>Middle Aged</v>
      </c>
      <c r="N892" t="s">
        <v>18</v>
      </c>
    </row>
    <row r="893" spans="1:14" x14ac:dyDescent="0.25">
      <c r="A893">
        <v>13415</v>
      </c>
      <c r="B893" t="s">
        <v>37</v>
      </c>
      <c r="C893" t="s">
        <v>38</v>
      </c>
      <c r="D893" s="1">
        <v>100000</v>
      </c>
      <c r="E893" s="3">
        <v>1</v>
      </c>
      <c r="F893" t="s">
        <v>31</v>
      </c>
      <c r="G893" t="s">
        <v>28</v>
      </c>
      <c r="H893" t="s">
        <v>15</v>
      </c>
      <c r="I893" s="3">
        <v>3</v>
      </c>
      <c r="J893" t="s">
        <v>22</v>
      </c>
      <c r="K893" t="s">
        <v>32</v>
      </c>
      <c r="L893" s="3">
        <v>73</v>
      </c>
      <c r="M893" s="3" t="str" cm="1">
        <f t="array" ref="M893">_xlfn.IFS(
L893&gt;=65,"Retirement Age",
AND(L893&lt;65,L893&gt;=40),"Middle Aged",
AND(L893&lt;40,L893&gt;=30),"In the 30s",
L893&lt;30,"Below 30")</f>
        <v>Retirement Age</v>
      </c>
      <c r="N893" t="s">
        <v>15</v>
      </c>
    </row>
    <row r="894" spans="1:14" x14ac:dyDescent="0.25">
      <c r="A894">
        <v>17000</v>
      </c>
      <c r="B894" t="s">
        <v>37</v>
      </c>
      <c r="C894" t="s">
        <v>39</v>
      </c>
      <c r="D894" s="1">
        <v>70000</v>
      </c>
      <c r="E894" s="3">
        <v>4</v>
      </c>
      <c r="F894" t="s">
        <v>13</v>
      </c>
      <c r="G894" t="s">
        <v>14</v>
      </c>
      <c r="H894" t="s">
        <v>15</v>
      </c>
      <c r="I894" s="3">
        <v>2</v>
      </c>
      <c r="J894" t="s">
        <v>22</v>
      </c>
      <c r="K894" t="s">
        <v>32</v>
      </c>
      <c r="L894" s="3">
        <v>43</v>
      </c>
      <c r="M894" s="3" t="str" cm="1">
        <f t="array" ref="M894">_xlfn.IFS(
L894&gt;=65,"Retirement Age",
AND(L894&lt;65,L894&gt;=40),"Middle Aged",
AND(L894&lt;40,L894&gt;=30),"In the 30s",
L894&lt;30,"Below 30")</f>
        <v>Middle Aged</v>
      </c>
      <c r="N894" t="s">
        <v>15</v>
      </c>
    </row>
    <row r="895" spans="1:14" x14ac:dyDescent="0.25">
      <c r="A895">
        <v>14569</v>
      </c>
      <c r="B895" t="s">
        <v>36</v>
      </c>
      <c r="C895" t="s">
        <v>38</v>
      </c>
      <c r="D895" s="1">
        <v>60000</v>
      </c>
      <c r="E895" s="3">
        <v>1</v>
      </c>
      <c r="F895" t="s">
        <v>31</v>
      </c>
      <c r="G895" t="s">
        <v>21</v>
      </c>
      <c r="H895" t="s">
        <v>15</v>
      </c>
      <c r="I895" s="3">
        <v>0</v>
      </c>
      <c r="J895" t="s">
        <v>16</v>
      </c>
      <c r="K895" t="s">
        <v>32</v>
      </c>
      <c r="L895" s="3">
        <v>35</v>
      </c>
      <c r="M895" s="3" t="str" cm="1">
        <f t="array" ref="M895">_xlfn.IFS(
L895&gt;=65,"Retirement Age",
AND(L895&lt;65,L895&gt;=40),"Middle Aged",
AND(L895&lt;40,L895&gt;=30),"In the 30s",
L895&lt;30,"Below 30")</f>
        <v>In the 30s</v>
      </c>
      <c r="N895" t="s">
        <v>18</v>
      </c>
    </row>
    <row r="896" spans="1:14" x14ac:dyDescent="0.25">
      <c r="A896">
        <v>13873</v>
      </c>
      <c r="B896" t="s">
        <v>36</v>
      </c>
      <c r="C896" t="s">
        <v>38</v>
      </c>
      <c r="D896" s="1">
        <v>70000</v>
      </c>
      <c r="E896" s="3">
        <v>3</v>
      </c>
      <c r="F896" t="s">
        <v>31</v>
      </c>
      <c r="G896" t="s">
        <v>21</v>
      </c>
      <c r="H896" t="s">
        <v>15</v>
      </c>
      <c r="I896" s="3">
        <v>0</v>
      </c>
      <c r="J896" t="s">
        <v>16</v>
      </c>
      <c r="K896" t="s">
        <v>32</v>
      </c>
      <c r="L896" s="3">
        <v>35</v>
      </c>
      <c r="M896" s="3" t="str" cm="1">
        <f t="array" ref="M896">_xlfn.IFS(
L896&gt;=65,"Retirement Age",
AND(L896&lt;65,L896&gt;=40),"Middle Aged",
AND(L896&lt;40,L896&gt;=30),"In the 30s",
L896&lt;30,"Below 30")</f>
        <v>In the 30s</v>
      </c>
      <c r="N896" t="s">
        <v>15</v>
      </c>
    </row>
    <row r="897" spans="1:14" x14ac:dyDescent="0.25">
      <c r="A897">
        <v>20401</v>
      </c>
      <c r="B897" t="s">
        <v>36</v>
      </c>
      <c r="C897" t="s">
        <v>39</v>
      </c>
      <c r="D897" s="1">
        <v>50000</v>
      </c>
      <c r="E897" s="3">
        <v>4</v>
      </c>
      <c r="F897" t="s">
        <v>13</v>
      </c>
      <c r="G897" t="s">
        <v>28</v>
      </c>
      <c r="H897" t="s">
        <v>15</v>
      </c>
      <c r="I897" s="3">
        <v>2</v>
      </c>
      <c r="J897" t="s">
        <v>26</v>
      </c>
      <c r="K897" t="s">
        <v>32</v>
      </c>
      <c r="L897" s="3">
        <v>64</v>
      </c>
      <c r="M897" s="3" t="str" cm="1">
        <f t="array" ref="M897">_xlfn.IFS(
L897&gt;=65,"Retirement Age",
AND(L897&lt;65,L897&gt;=40),"Middle Aged",
AND(L897&lt;40,L897&gt;=30),"In the 30s",
L897&lt;30,"Below 30")</f>
        <v>Middle Aged</v>
      </c>
      <c r="N897" t="s">
        <v>15</v>
      </c>
    </row>
    <row r="898" spans="1:14" x14ac:dyDescent="0.25">
      <c r="A898">
        <v>21583</v>
      </c>
      <c r="B898" t="s">
        <v>36</v>
      </c>
      <c r="C898" t="s">
        <v>39</v>
      </c>
      <c r="D898" s="1">
        <v>50000</v>
      </c>
      <c r="E898" s="3">
        <v>1</v>
      </c>
      <c r="F898" t="s">
        <v>13</v>
      </c>
      <c r="G898" t="s">
        <v>14</v>
      </c>
      <c r="H898" t="s">
        <v>15</v>
      </c>
      <c r="I898" s="3">
        <v>0</v>
      </c>
      <c r="J898" t="s">
        <v>16</v>
      </c>
      <c r="K898" t="s">
        <v>32</v>
      </c>
      <c r="L898" s="3">
        <v>34</v>
      </c>
      <c r="M898" s="3" t="str" cm="1">
        <f t="array" ref="M898">_xlfn.IFS(
L898&gt;=65,"Retirement Age",
AND(L898&lt;65,L898&gt;=40),"Middle Aged",
AND(L898&lt;40,L898&gt;=30),"In the 30s",
L898&lt;30,"Below 30")</f>
        <v>In the 30s</v>
      </c>
      <c r="N898" t="s">
        <v>15</v>
      </c>
    </row>
    <row r="899" spans="1:14" x14ac:dyDescent="0.25">
      <c r="A899">
        <v>12029</v>
      </c>
      <c r="B899" t="s">
        <v>36</v>
      </c>
      <c r="C899" t="s">
        <v>38</v>
      </c>
      <c r="D899" s="1">
        <v>30000</v>
      </c>
      <c r="E899" s="3">
        <v>0</v>
      </c>
      <c r="F899" t="s">
        <v>29</v>
      </c>
      <c r="G899" t="s">
        <v>20</v>
      </c>
      <c r="H899" t="s">
        <v>18</v>
      </c>
      <c r="I899" s="3">
        <v>2</v>
      </c>
      <c r="J899" t="s">
        <v>16</v>
      </c>
      <c r="K899" t="s">
        <v>32</v>
      </c>
      <c r="L899" s="3">
        <v>28</v>
      </c>
      <c r="M899" s="3" t="str" cm="1">
        <f t="array" ref="M899">_xlfn.IFS(
L899&gt;=65,"Retirement Age",
AND(L899&lt;65,L899&gt;=40),"Middle Aged",
AND(L899&lt;40,L899&gt;=30),"In the 30s",
L899&lt;30,"Below 30")</f>
        <v>Below 30</v>
      </c>
      <c r="N899" t="s">
        <v>18</v>
      </c>
    </row>
    <row r="900" spans="1:14" x14ac:dyDescent="0.25">
      <c r="A900">
        <v>18066</v>
      </c>
      <c r="B900" t="s">
        <v>37</v>
      </c>
      <c r="C900" t="s">
        <v>38</v>
      </c>
      <c r="D900" s="1">
        <v>70000</v>
      </c>
      <c r="E900" s="3">
        <v>5</v>
      </c>
      <c r="F900" t="s">
        <v>13</v>
      </c>
      <c r="G900" t="s">
        <v>28</v>
      </c>
      <c r="H900" t="s">
        <v>15</v>
      </c>
      <c r="I900" s="3">
        <v>3</v>
      </c>
      <c r="J900" t="s">
        <v>45</v>
      </c>
      <c r="K900" t="s">
        <v>32</v>
      </c>
      <c r="L900" s="3">
        <v>60</v>
      </c>
      <c r="M900" s="3" t="str" cm="1">
        <f t="array" ref="M900">_xlfn.IFS(
L900&gt;=65,"Retirement Age",
AND(L900&lt;65,L900&gt;=40),"Middle Aged",
AND(L900&lt;40,L900&gt;=30),"In the 30s",
L900&lt;30,"Below 30")</f>
        <v>Middle Aged</v>
      </c>
      <c r="N900" t="s">
        <v>15</v>
      </c>
    </row>
    <row r="901" spans="1:14" x14ac:dyDescent="0.25">
      <c r="A901">
        <v>28192</v>
      </c>
      <c r="B901" t="s">
        <v>36</v>
      </c>
      <c r="C901" t="s">
        <v>39</v>
      </c>
      <c r="D901" s="1">
        <v>70000</v>
      </c>
      <c r="E901" s="3">
        <v>5</v>
      </c>
      <c r="F901" t="s">
        <v>31</v>
      </c>
      <c r="G901" t="s">
        <v>21</v>
      </c>
      <c r="H901" t="s">
        <v>15</v>
      </c>
      <c r="I901" s="3">
        <v>3</v>
      </c>
      <c r="J901" t="s">
        <v>45</v>
      </c>
      <c r="K901" t="s">
        <v>32</v>
      </c>
      <c r="L901" s="3">
        <v>46</v>
      </c>
      <c r="M901" s="3" t="str" cm="1">
        <f t="array" ref="M901">_xlfn.IFS(
L901&gt;=65,"Retirement Age",
AND(L901&lt;65,L901&gt;=40),"Middle Aged",
AND(L901&lt;40,L901&gt;=30),"In the 30s",
L901&lt;30,"Below 30")</f>
        <v>Middle Aged</v>
      </c>
      <c r="N901" t="s">
        <v>18</v>
      </c>
    </row>
    <row r="902" spans="1:14" x14ac:dyDescent="0.25">
      <c r="A902">
        <v>16122</v>
      </c>
      <c r="B902" t="s">
        <v>36</v>
      </c>
      <c r="C902" t="s">
        <v>38</v>
      </c>
      <c r="D902" s="1">
        <v>40000</v>
      </c>
      <c r="E902" s="3">
        <v>4</v>
      </c>
      <c r="F902" t="s">
        <v>27</v>
      </c>
      <c r="G902" t="s">
        <v>14</v>
      </c>
      <c r="H902" t="s">
        <v>15</v>
      </c>
      <c r="I902" s="3">
        <v>2</v>
      </c>
      <c r="J902" t="s">
        <v>16</v>
      </c>
      <c r="K902" t="s">
        <v>32</v>
      </c>
      <c r="L902" s="3">
        <v>44</v>
      </c>
      <c r="M902" s="3" t="str" cm="1">
        <f t="array" ref="M902">_xlfn.IFS(
L902&gt;=65,"Retirement Age",
AND(L902&lt;65,L902&gt;=40),"Middle Aged",
AND(L902&lt;40,L902&gt;=30),"In the 30s",
L902&lt;30,"Below 30")</f>
        <v>Middle Aged</v>
      </c>
      <c r="N902" t="s">
        <v>15</v>
      </c>
    </row>
    <row r="903" spans="1:14" x14ac:dyDescent="0.25">
      <c r="A903">
        <v>18607</v>
      </c>
      <c r="B903" t="s">
        <v>37</v>
      </c>
      <c r="C903" t="s">
        <v>39</v>
      </c>
      <c r="D903" s="1">
        <v>60000</v>
      </c>
      <c r="E903" s="3">
        <v>4</v>
      </c>
      <c r="F903" t="s">
        <v>13</v>
      </c>
      <c r="G903" t="s">
        <v>14</v>
      </c>
      <c r="H903" t="s">
        <v>15</v>
      </c>
      <c r="I903" s="3">
        <v>2</v>
      </c>
      <c r="J903" t="s">
        <v>22</v>
      </c>
      <c r="K903" t="s">
        <v>32</v>
      </c>
      <c r="L903" s="3">
        <v>42</v>
      </c>
      <c r="M903" s="3" t="str" cm="1">
        <f t="array" ref="M903">_xlfn.IFS(
L903&gt;=65,"Retirement Age",
AND(L903&lt;65,L903&gt;=40),"Middle Aged",
AND(L903&lt;40,L903&gt;=30),"In the 30s",
L903&lt;30,"Below 30")</f>
        <v>Middle Aged</v>
      </c>
      <c r="N903" t="s">
        <v>15</v>
      </c>
    </row>
    <row r="904" spans="1:14" x14ac:dyDescent="0.25">
      <c r="A904">
        <v>28858</v>
      </c>
      <c r="B904" t="s">
        <v>37</v>
      </c>
      <c r="C904" t="s">
        <v>38</v>
      </c>
      <c r="D904" s="1">
        <v>80000</v>
      </c>
      <c r="E904" s="3">
        <v>3</v>
      </c>
      <c r="F904" t="s">
        <v>13</v>
      </c>
      <c r="G904" t="s">
        <v>14</v>
      </c>
      <c r="H904" t="s">
        <v>15</v>
      </c>
      <c r="I904" s="3">
        <v>0</v>
      </c>
      <c r="J904" t="s">
        <v>22</v>
      </c>
      <c r="K904" t="s">
        <v>32</v>
      </c>
      <c r="L904" s="3">
        <v>40</v>
      </c>
      <c r="M904" s="3" t="str" cm="1">
        <f t="array" ref="M904">_xlfn.IFS(
L904&gt;=65,"Retirement Age",
AND(L904&lt;65,L904&gt;=40),"Middle Aged",
AND(L904&lt;40,L904&gt;=30),"In the 30s",
L904&lt;30,"Below 30")</f>
        <v>Middle Aged</v>
      </c>
      <c r="N904" t="s">
        <v>18</v>
      </c>
    </row>
    <row r="905" spans="1:14" x14ac:dyDescent="0.25">
      <c r="A905">
        <v>14432</v>
      </c>
      <c r="B905" t="s">
        <v>37</v>
      </c>
      <c r="C905" t="s">
        <v>38</v>
      </c>
      <c r="D905" s="1">
        <v>90000</v>
      </c>
      <c r="E905" s="3">
        <v>4</v>
      </c>
      <c r="F905" t="s">
        <v>31</v>
      </c>
      <c r="G905" t="s">
        <v>28</v>
      </c>
      <c r="H905" t="s">
        <v>15</v>
      </c>
      <c r="I905" s="3">
        <v>1</v>
      </c>
      <c r="J905" t="s">
        <v>23</v>
      </c>
      <c r="K905" t="s">
        <v>32</v>
      </c>
      <c r="L905" s="3">
        <v>73</v>
      </c>
      <c r="M905" s="3" t="str" cm="1">
        <f t="array" ref="M905">_xlfn.IFS(
L905&gt;=65,"Retirement Age",
AND(L905&lt;65,L905&gt;=40),"Middle Aged",
AND(L905&lt;40,L905&gt;=30),"In the 30s",
L905&lt;30,"Below 30")</f>
        <v>Retirement Age</v>
      </c>
      <c r="N905" t="s">
        <v>18</v>
      </c>
    </row>
    <row r="906" spans="1:14" x14ac:dyDescent="0.25">
      <c r="A906">
        <v>26305</v>
      </c>
      <c r="B906" t="s">
        <v>37</v>
      </c>
      <c r="C906" t="s">
        <v>39</v>
      </c>
      <c r="D906" s="1">
        <v>60000</v>
      </c>
      <c r="E906" s="3">
        <v>2</v>
      </c>
      <c r="F906" t="s">
        <v>13</v>
      </c>
      <c r="G906" t="s">
        <v>14</v>
      </c>
      <c r="H906" t="s">
        <v>18</v>
      </c>
      <c r="I906" s="3">
        <v>0</v>
      </c>
      <c r="J906" t="s">
        <v>16</v>
      </c>
      <c r="K906" t="s">
        <v>32</v>
      </c>
      <c r="L906" s="3">
        <v>36</v>
      </c>
      <c r="M906" s="3" t="str" cm="1">
        <f t="array" ref="M906">_xlfn.IFS(
L906&gt;=65,"Retirement Age",
AND(L906&lt;65,L906&gt;=40),"Middle Aged",
AND(L906&lt;40,L906&gt;=30),"In the 30s",
L906&lt;30,"Below 30")</f>
        <v>In the 30s</v>
      </c>
      <c r="N906" t="s">
        <v>15</v>
      </c>
    </row>
    <row r="907" spans="1:14" x14ac:dyDescent="0.25">
      <c r="A907">
        <v>22050</v>
      </c>
      <c r="B907" t="s">
        <v>37</v>
      </c>
      <c r="C907" t="s">
        <v>38</v>
      </c>
      <c r="D907" s="1">
        <v>90000</v>
      </c>
      <c r="E907" s="3">
        <v>4</v>
      </c>
      <c r="F907" t="s">
        <v>13</v>
      </c>
      <c r="G907" t="s">
        <v>28</v>
      </c>
      <c r="H907" t="s">
        <v>15</v>
      </c>
      <c r="I907" s="3">
        <v>1</v>
      </c>
      <c r="J907" t="s">
        <v>26</v>
      </c>
      <c r="K907" t="s">
        <v>32</v>
      </c>
      <c r="L907" s="3">
        <v>38</v>
      </c>
      <c r="M907" s="3" t="str" cm="1">
        <f t="array" ref="M907">_xlfn.IFS(
L907&gt;=65,"Retirement Age",
AND(L907&lt;65,L907&gt;=40),"Middle Aged",
AND(L907&lt;40,L907&gt;=30),"In the 30s",
L907&lt;30,"Below 30")</f>
        <v>In the 30s</v>
      </c>
      <c r="N907" t="s">
        <v>15</v>
      </c>
    </row>
    <row r="908" spans="1:14" x14ac:dyDescent="0.25">
      <c r="A908">
        <v>25394</v>
      </c>
      <c r="B908" t="s">
        <v>36</v>
      </c>
      <c r="C908" t="s">
        <v>38</v>
      </c>
      <c r="D908" s="1">
        <v>60000</v>
      </c>
      <c r="E908" s="3">
        <v>1</v>
      </c>
      <c r="F908" t="s">
        <v>31</v>
      </c>
      <c r="G908" t="s">
        <v>21</v>
      </c>
      <c r="H908" t="s">
        <v>15</v>
      </c>
      <c r="I908" s="3">
        <v>0</v>
      </c>
      <c r="J908" t="s">
        <v>22</v>
      </c>
      <c r="K908" t="s">
        <v>32</v>
      </c>
      <c r="L908" s="3">
        <v>34</v>
      </c>
      <c r="M908" s="3" t="str" cm="1">
        <f t="array" ref="M908">_xlfn.IFS(
L908&gt;=65,"Retirement Age",
AND(L908&lt;65,L908&gt;=40),"Middle Aged",
AND(L908&lt;40,L908&gt;=30),"In the 30s",
L908&lt;30,"Below 30")</f>
        <v>In the 30s</v>
      </c>
      <c r="N908" t="s">
        <v>15</v>
      </c>
    </row>
    <row r="909" spans="1:14" x14ac:dyDescent="0.25">
      <c r="A909">
        <v>19747</v>
      </c>
      <c r="B909" t="s">
        <v>36</v>
      </c>
      <c r="C909" t="s">
        <v>38</v>
      </c>
      <c r="D909" s="1">
        <v>50000</v>
      </c>
      <c r="E909" s="3">
        <v>4</v>
      </c>
      <c r="F909" t="s">
        <v>13</v>
      </c>
      <c r="G909" t="s">
        <v>28</v>
      </c>
      <c r="H909" t="s">
        <v>15</v>
      </c>
      <c r="I909" s="3">
        <v>2</v>
      </c>
      <c r="J909" t="s">
        <v>45</v>
      </c>
      <c r="K909" t="s">
        <v>32</v>
      </c>
      <c r="L909" s="3">
        <v>63</v>
      </c>
      <c r="M909" s="3" t="str" cm="1">
        <f t="array" ref="M909">_xlfn.IFS(
L909&gt;=65,"Retirement Age",
AND(L909&lt;65,L909&gt;=40),"Middle Aged",
AND(L909&lt;40,L909&gt;=30),"In the 30s",
L909&lt;30,"Below 30")</f>
        <v>Middle Aged</v>
      </c>
      <c r="N909" t="s">
        <v>18</v>
      </c>
    </row>
    <row r="910" spans="1:14" x14ac:dyDescent="0.25">
      <c r="A910">
        <v>23195</v>
      </c>
      <c r="B910" t="s">
        <v>37</v>
      </c>
      <c r="C910" t="s">
        <v>38</v>
      </c>
      <c r="D910" s="1">
        <v>50000</v>
      </c>
      <c r="E910" s="3">
        <v>3</v>
      </c>
      <c r="F910" t="s">
        <v>13</v>
      </c>
      <c r="G910" t="s">
        <v>14</v>
      </c>
      <c r="H910" t="s">
        <v>15</v>
      </c>
      <c r="I910" s="3">
        <v>2</v>
      </c>
      <c r="J910" t="s">
        <v>22</v>
      </c>
      <c r="K910" t="s">
        <v>32</v>
      </c>
      <c r="L910" s="3">
        <v>41</v>
      </c>
      <c r="M910" s="3" t="str" cm="1">
        <f t="array" ref="M910">_xlfn.IFS(
L910&gt;=65,"Retirement Age",
AND(L910&lt;65,L910&gt;=40),"Middle Aged",
AND(L910&lt;40,L910&gt;=30),"In the 30s",
L910&lt;30,"Below 30")</f>
        <v>Middle Aged</v>
      </c>
      <c r="N910" t="s">
        <v>15</v>
      </c>
    </row>
    <row r="911" spans="1:14" x14ac:dyDescent="0.25">
      <c r="A911">
        <v>21695</v>
      </c>
      <c r="B911" t="s">
        <v>36</v>
      </c>
      <c r="C911" t="s">
        <v>38</v>
      </c>
      <c r="D911" s="1">
        <v>60000</v>
      </c>
      <c r="E911" s="3">
        <v>0</v>
      </c>
      <c r="F911" t="s">
        <v>31</v>
      </c>
      <c r="G911" t="s">
        <v>14</v>
      </c>
      <c r="H911" t="s">
        <v>15</v>
      </c>
      <c r="I911" s="3">
        <v>0</v>
      </c>
      <c r="J911" t="s">
        <v>26</v>
      </c>
      <c r="K911" t="s">
        <v>32</v>
      </c>
      <c r="L911" s="3">
        <v>39</v>
      </c>
      <c r="M911" s="3" t="str" cm="1">
        <f t="array" ref="M911">_xlfn.IFS(
L911&gt;=65,"Retirement Age",
AND(L911&lt;65,L911&gt;=40),"Middle Aged",
AND(L911&lt;40,L911&gt;=30),"In the 30s",
L911&lt;30,"Below 30")</f>
        <v>In the 30s</v>
      </c>
      <c r="N911" t="s">
        <v>15</v>
      </c>
    </row>
    <row r="912" spans="1:14" x14ac:dyDescent="0.25">
      <c r="A912">
        <v>13934</v>
      </c>
      <c r="B912" t="s">
        <v>36</v>
      </c>
      <c r="C912" t="s">
        <v>38</v>
      </c>
      <c r="D912" s="1">
        <v>40000</v>
      </c>
      <c r="E912" s="3">
        <v>4</v>
      </c>
      <c r="F912" t="s">
        <v>27</v>
      </c>
      <c r="G912" t="s">
        <v>14</v>
      </c>
      <c r="H912" t="s">
        <v>15</v>
      </c>
      <c r="I912" s="3">
        <v>2</v>
      </c>
      <c r="J912" t="s">
        <v>22</v>
      </c>
      <c r="K912" t="s">
        <v>32</v>
      </c>
      <c r="L912" s="3">
        <v>46</v>
      </c>
      <c r="M912" s="3" t="str" cm="1">
        <f t="array" ref="M912">_xlfn.IFS(
L912&gt;=65,"Retirement Age",
AND(L912&lt;65,L912&gt;=40),"Middle Aged",
AND(L912&lt;40,L912&gt;=30),"In the 30s",
L912&lt;30,"Below 30")</f>
        <v>Middle Aged</v>
      </c>
      <c r="N912" t="s">
        <v>18</v>
      </c>
    </row>
    <row r="913" spans="1:14" x14ac:dyDescent="0.25">
      <c r="A913">
        <v>13337</v>
      </c>
      <c r="B913" t="s">
        <v>36</v>
      </c>
      <c r="C913" t="s">
        <v>39</v>
      </c>
      <c r="D913" s="1">
        <v>80000</v>
      </c>
      <c r="E913" s="3">
        <v>5</v>
      </c>
      <c r="F913" t="s">
        <v>13</v>
      </c>
      <c r="G913" t="s">
        <v>28</v>
      </c>
      <c r="H913" t="s">
        <v>15</v>
      </c>
      <c r="I913" s="3">
        <v>2</v>
      </c>
      <c r="J913" t="s">
        <v>23</v>
      </c>
      <c r="K913" t="s">
        <v>32</v>
      </c>
      <c r="L913" s="3">
        <v>64</v>
      </c>
      <c r="M913" s="3" t="str" cm="1">
        <f t="array" ref="M913">_xlfn.IFS(
L913&gt;=65,"Retirement Age",
AND(L913&lt;65,L913&gt;=40),"Middle Aged",
AND(L913&lt;40,L913&gt;=30),"In the 30s",
L913&lt;30,"Below 30")</f>
        <v>Middle Aged</v>
      </c>
      <c r="N913" t="s">
        <v>18</v>
      </c>
    </row>
    <row r="914" spans="1:14" x14ac:dyDescent="0.25">
      <c r="A914">
        <v>27190</v>
      </c>
      <c r="B914" t="s">
        <v>36</v>
      </c>
      <c r="C914" t="s">
        <v>39</v>
      </c>
      <c r="D914" s="1">
        <v>40000</v>
      </c>
      <c r="E914" s="3">
        <v>3</v>
      </c>
      <c r="F914" t="s">
        <v>19</v>
      </c>
      <c r="G914" t="s">
        <v>20</v>
      </c>
      <c r="H914" t="s">
        <v>15</v>
      </c>
      <c r="I914" s="3">
        <v>1</v>
      </c>
      <c r="J914" t="s">
        <v>26</v>
      </c>
      <c r="K914" t="s">
        <v>32</v>
      </c>
      <c r="L914" s="3">
        <v>32</v>
      </c>
      <c r="M914" s="3" t="str" cm="1">
        <f t="array" ref="M914">_xlfn.IFS(
L914&gt;=65,"Retirement Age",
AND(L914&lt;65,L914&gt;=40),"Middle Aged",
AND(L914&lt;40,L914&gt;=30),"In the 30s",
L914&lt;30,"Below 30")</f>
        <v>In the 30s</v>
      </c>
      <c r="N914" t="s">
        <v>18</v>
      </c>
    </row>
    <row r="915" spans="1:14" x14ac:dyDescent="0.25">
      <c r="A915">
        <v>28657</v>
      </c>
      <c r="B915" t="s">
        <v>37</v>
      </c>
      <c r="C915" t="s">
        <v>38</v>
      </c>
      <c r="D915" s="1">
        <v>60000</v>
      </c>
      <c r="E915" s="3">
        <v>2</v>
      </c>
      <c r="F915" t="s">
        <v>13</v>
      </c>
      <c r="G915" t="s">
        <v>14</v>
      </c>
      <c r="H915" t="s">
        <v>15</v>
      </c>
      <c r="I915" s="3">
        <v>0</v>
      </c>
      <c r="J915" t="s">
        <v>22</v>
      </c>
      <c r="K915" t="s">
        <v>32</v>
      </c>
      <c r="L915" s="3">
        <v>36</v>
      </c>
      <c r="M915" s="3" t="str" cm="1">
        <f t="array" ref="M915">_xlfn.IFS(
L915&gt;=65,"Retirement Age",
AND(L915&lt;65,L915&gt;=40),"Middle Aged",
AND(L915&lt;40,L915&gt;=30),"In the 30s",
L915&lt;30,"Below 30")</f>
        <v>In the 30s</v>
      </c>
      <c r="N915" t="s">
        <v>15</v>
      </c>
    </row>
    <row r="916" spans="1:14" x14ac:dyDescent="0.25">
      <c r="A916">
        <v>21713</v>
      </c>
      <c r="B916" t="s">
        <v>37</v>
      </c>
      <c r="C916" t="s">
        <v>38</v>
      </c>
      <c r="D916" s="1">
        <v>80000</v>
      </c>
      <c r="E916" s="3">
        <v>5</v>
      </c>
      <c r="F916" t="s">
        <v>31</v>
      </c>
      <c r="G916" t="s">
        <v>14</v>
      </c>
      <c r="H916" t="s">
        <v>18</v>
      </c>
      <c r="I916" s="3">
        <v>0</v>
      </c>
      <c r="J916" t="s">
        <v>16</v>
      </c>
      <c r="K916" t="s">
        <v>32</v>
      </c>
      <c r="L916" s="3">
        <v>47</v>
      </c>
      <c r="M916" s="3" t="str" cm="1">
        <f t="array" ref="M916">_xlfn.IFS(
L916&gt;=65,"Retirement Age",
AND(L916&lt;65,L916&gt;=40),"Middle Aged",
AND(L916&lt;40,L916&gt;=30),"In the 30s",
L916&lt;30,"Below 30")</f>
        <v>Middle Aged</v>
      </c>
      <c r="N916" t="s">
        <v>18</v>
      </c>
    </row>
    <row r="917" spans="1:14" x14ac:dyDescent="0.25">
      <c r="A917">
        <v>21752</v>
      </c>
      <c r="B917" t="s">
        <v>36</v>
      </c>
      <c r="C917" t="s">
        <v>38</v>
      </c>
      <c r="D917" s="1">
        <v>60000</v>
      </c>
      <c r="E917" s="3">
        <v>3</v>
      </c>
      <c r="F917" t="s">
        <v>31</v>
      </c>
      <c r="G917" t="s">
        <v>28</v>
      </c>
      <c r="H917" t="s">
        <v>15</v>
      </c>
      <c r="I917" s="3">
        <v>2</v>
      </c>
      <c r="J917" t="s">
        <v>45</v>
      </c>
      <c r="K917" t="s">
        <v>32</v>
      </c>
      <c r="L917" s="3">
        <v>64</v>
      </c>
      <c r="M917" s="3" t="str" cm="1">
        <f t="array" ref="M917">_xlfn.IFS(
L917&gt;=65,"Retirement Age",
AND(L917&lt;65,L917&gt;=40),"Middle Aged",
AND(L917&lt;40,L917&gt;=30),"In the 30s",
L917&lt;30,"Below 30")</f>
        <v>Middle Aged</v>
      </c>
      <c r="N917" t="s">
        <v>18</v>
      </c>
    </row>
    <row r="918" spans="1:14" x14ac:dyDescent="0.25">
      <c r="A918">
        <v>27273</v>
      </c>
      <c r="B918" t="s">
        <v>37</v>
      </c>
      <c r="C918" t="s">
        <v>38</v>
      </c>
      <c r="D918" s="1">
        <v>70000</v>
      </c>
      <c r="E918" s="3">
        <v>3</v>
      </c>
      <c r="F918" t="s">
        <v>31</v>
      </c>
      <c r="G918" t="s">
        <v>21</v>
      </c>
      <c r="H918" t="s">
        <v>18</v>
      </c>
      <c r="I918" s="3">
        <v>0</v>
      </c>
      <c r="J918" t="s">
        <v>16</v>
      </c>
      <c r="K918" t="s">
        <v>32</v>
      </c>
      <c r="L918" s="3">
        <v>35</v>
      </c>
      <c r="M918" s="3" t="str" cm="1">
        <f t="array" ref="M918">_xlfn.IFS(
L918&gt;=65,"Retirement Age",
AND(L918&lt;65,L918&gt;=40),"Middle Aged",
AND(L918&lt;40,L918&gt;=30),"In the 30s",
L918&lt;30,"Below 30")</f>
        <v>In the 30s</v>
      </c>
      <c r="N918" t="s">
        <v>15</v>
      </c>
    </row>
    <row r="919" spans="1:14" x14ac:dyDescent="0.25">
      <c r="A919">
        <v>22719</v>
      </c>
      <c r="B919" t="s">
        <v>37</v>
      </c>
      <c r="C919" t="s">
        <v>38</v>
      </c>
      <c r="D919" s="1">
        <v>110000</v>
      </c>
      <c r="E919" s="3">
        <v>3</v>
      </c>
      <c r="F919" t="s">
        <v>13</v>
      </c>
      <c r="G919" t="s">
        <v>28</v>
      </c>
      <c r="H919" t="s">
        <v>15</v>
      </c>
      <c r="I919" s="3">
        <v>4</v>
      </c>
      <c r="J919" t="s">
        <v>22</v>
      </c>
      <c r="K919" t="s">
        <v>32</v>
      </c>
      <c r="L919" s="3">
        <v>40</v>
      </c>
      <c r="M919" s="3" t="str" cm="1">
        <f t="array" ref="M919">_xlfn.IFS(
L919&gt;=65,"Retirement Age",
AND(L919&lt;65,L919&gt;=40),"Middle Aged",
AND(L919&lt;40,L919&gt;=30),"In the 30s",
L919&lt;30,"Below 30")</f>
        <v>Middle Aged</v>
      </c>
      <c r="N919" t="s">
        <v>15</v>
      </c>
    </row>
    <row r="920" spans="1:14" x14ac:dyDescent="0.25">
      <c r="A920">
        <v>22042</v>
      </c>
      <c r="B920" t="s">
        <v>36</v>
      </c>
      <c r="C920" t="s">
        <v>39</v>
      </c>
      <c r="D920" s="1">
        <v>70000</v>
      </c>
      <c r="E920" s="3">
        <v>0</v>
      </c>
      <c r="F920" t="s">
        <v>19</v>
      </c>
      <c r="G920" t="s">
        <v>14</v>
      </c>
      <c r="H920" t="s">
        <v>15</v>
      </c>
      <c r="I920" s="3">
        <v>2</v>
      </c>
      <c r="J920" t="s">
        <v>23</v>
      </c>
      <c r="K920" t="s">
        <v>32</v>
      </c>
      <c r="L920" s="3">
        <v>34</v>
      </c>
      <c r="M920" s="3" t="str" cm="1">
        <f t="array" ref="M920">_xlfn.IFS(
L920&gt;=65,"Retirement Age",
AND(L920&lt;65,L920&gt;=40),"Middle Aged",
AND(L920&lt;40,L920&gt;=30),"In the 30s",
L920&lt;30,"Below 30")</f>
        <v>In the 30s</v>
      </c>
      <c r="N920" t="s">
        <v>15</v>
      </c>
    </row>
    <row r="921" spans="1:14" x14ac:dyDescent="0.25">
      <c r="A921">
        <v>21451</v>
      </c>
      <c r="B921" t="s">
        <v>36</v>
      </c>
      <c r="C921" t="s">
        <v>39</v>
      </c>
      <c r="D921" s="1">
        <v>40000</v>
      </c>
      <c r="E921" s="3">
        <v>4</v>
      </c>
      <c r="F921" t="s">
        <v>27</v>
      </c>
      <c r="G921" t="s">
        <v>21</v>
      </c>
      <c r="H921" t="s">
        <v>15</v>
      </c>
      <c r="I921" s="3">
        <v>2</v>
      </c>
      <c r="J921" t="s">
        <v>45</v>
      </c>
      <c r="K921" t="s">
        <v>32</v>
      </c>
      <c r="L921" s="3">
        <v>61</v>
      </c>
      <c r="M921" s="3" t="str" cm="1">
        <f t="array" ref="M921">_xlfn.IFS(
L921&gt;=65,"Retirement Age",
AND(L921&lt;65,L921&gt;=40),"Middle Aged",
AND(L921&lt;40,L921&gt;=30),"In the 30s",
L921&lt;30,"Below 30")</f>
        <v>Middle Aged</v>
      </c>
      <c r="N921" t="s">
        <v>18</v>
      </c>
    </row>
    <row r="922" spans="1:14" x14ac:dyDescent="0.25">
      <c r="A922">
        <v>20754</v>
      </c>
      <c r="B922" t="s">
        <v>36</v>
      </c>
      <c r="C922" t="s">
        <v>38</v>
      </c>
      <c r="D922" s="1">
        <v>30000</v>
      </c>
      <c r="E922" s="3">
        <v>2</v>
      </c>
      <c r="F922" t="s">
        <v>27</v>
      </c>
      <c r="G922" t="s">
        <v>14</v>
      </c>
      <c r="H922" t="s">
        <v>15</v>
      </c>
      <c r="I922" s="3">
        <v>2</v>
      </c>
      <c r="J922" t="s">
        <v>26</v>
      </c>
      <c r="K922" t="s">
        <v>32</v>
      </c>
      <c r="L922" s="3">
        <v>51</v>
      </c>
      <c r="M922" s="3" t="str" cm="1">
        <f t="array" ref="M922">_xlfn.IFS(
L922&gt;=65,"Retirement Age",
AND(L922&lt;65,L922&gt;=40),"Middle Aged",
AND(L922&lt;40,L922&gt;=30),"In the 30s",
L922&lt;30,"Below 30")</f>
        <v>Middle Aged</v>
      </c>
      <c r="N922" t="s">
        <v>18</v>
      </c>
    </row>
    <row r="923" spans="1:14" x14ac:dyDescent="0.25">
      <c r="A923">
        <v>12153</v>
      </c>
      <c r="B923" t="s">
        <v>37</v>
      </c>
      <c r="C923" t="s">
        <v>39</v>
      </c>
      <c r="D923" s="1">
        <v>70000</v>
      </c>
      <c r="E923" s="3">
        <v>3</v>
      </c>
      <c r="F923" t="s">
        <v>19</v>
      </c>
      <c r="G923" t="s">
        <v>21</v>
      </c>
      <c r="H923" t="s">
        <v>15</v>
      </c>
      <c r="I923" s="3">
        <v>1</v>
      </c>
      <c r="J923" t="s">
        <v>23</v>
      </c>
      <c r="K923" t="s">
        <v>32</v>
      </c>
      <c r="L923" s="3">
        <v>49</v>
      </c>
      <c r="M923" s="3" t="str" cm="1">
        <f t="array" ref="M923">_xlfn.IFS(
L923&gt;=65,"Retirement Age",
AND(L923&lt;65,L923&gt;=40),"Middle Aged",
AND(L923&lt;40,L923&gt;=30),"In the 30s",
L923&lt;30,"Below 30")</f>
        <v>Middle Aged</v>
      </c>
      <c r="N923" t="s">
        <v>15</v>
      </c>
    </row>
    <row r="924" spans="1:14" x14ac:dyDescent="0.25">
      <c r="A924">
        <v>16895</v>
      </c>
      <c r="B924" t="s">
        <v>36</v>
      </c>
      <c r="C924" t="s">
        <v>39</v>
      </c>
      <c r="D924" s="1">
        <v>40000</v>
      </c>
      <c r="E924" s="3">
        <v>3</v>
      </c>
      <c r="F924" t="s">
        <v>19</v>
      </c>
      <c r="G924" t="s">
        <v>21</v>
      </c>
      <c r="H924" t="s">
        <v>18</v>
      </c>
      <c r="I924" s="3">
        <v>2</v>
      </c>
      <c r="J924" t="s">
        <v>26</v>
      </c>
      <c r="K924" t="s">
        <v>32</v>
      </c>
      <c r="L924" s="3">
        <v>54</v>
      </c>
      <c r="M924" s="3" t="str" cm="1">
        <f t="array" ref="M924">_xlfn.IFS(
L924&gt;=65,"Retirement Age",
AND(L924&lt;65,L924&gt;=40),"Middle Aged",
AND(L924&lt;40,L924&gt;=30),"In the 30s",
L924&lt;30,"Below 30")</f>
        <v>Middle Aged</v>
      </c>
      <c r="N924" t="s">
        <v>15</v>
      </c>
    </row>
    <row r="925" spans="1:14" x14ac:dyDescent="0.25">
      <c r="A925">
        <v>26728</v>
      </c>
      <c r="B925" t="s">
        <v>37</v>
      </c>
      <c r="C925" t="s">
        <v>38</v>
      </c>
      <c r="D925" s="1">
        <v>70000</v>
      </c>
      <c r="E925" s="3">
        <v>3</v>
      </c>
      <c r="F925" t="s">
        <v>31</v>
      </c>
      <c r="G925" t="s">
        <v>28</v>
      </c>
      <c r="H925" t="s">
        <v>18</v>
      </c>
      <c r="I925" s="3">
        <v>2</v>
      </c>
      <c r="J925" t="s">
        <v>26</v>
      </c>
      <c r="K925" t="s">
        <v>32</v>
      </c>
      <c r="L925" s="3">
        <v>53</v>
      </c>
      <c r="M925" s="3" t="str" cm="1">
        <f t="array" ref="M925">_xlfn.IFS(
L925&gt;=65,"Retirement Age",
AND(L925&lt;65,L925&gt;=40),"Middle Aged",
AND(L925&lt;40,L925&gt;=30),"In the 30s",
L925&lt;30,"Below 30")</f>
        <v>Middle Aged</v>
      </c>
      <c r="N925" t="s">
        <v>15</v>
      </c>
    </row>
    <row r="926" spans="1:14" x14ac:dyDescent="0.25">
      <c r="A926">
        <v>11090</v>
      </c>
      <c r="B926" t="s">
        <v>37</v>
      </c>
      <c r="C926" t="s">
        <v>38</v>
      </c>
      <c r="D926" s="1">
        <v>90000</v>
      </c>
      <c r="E926" s="3">
        <v>2</v>
      </c>
      <c r="F926" t="s">
        <v>19</v>
      </c>
      <c r="G926" t="s">
        <v>21</v>
      </c>
      <c r="H926" t="s">
        <v>15</v>
      </c>
      <c r="I926" s="3">
        <v>1</v>
      </c>
      <c r="J926" t="s">
        <v>22</v>
      </c>
      <c r="K926" t="s">
        <v>32</v>
      </c>
      <c r="L926" s="3">
        <v>48</v>
      </c>
      <c r="M926" s="3" t="str" cm="1">
        <f t="array" ref="M926">_xlfn.IFS(
L926&gt;=65,"Retirement Age",
AND(L926&lt;65,L926&gt;=40),"Middle Aged",
AND(L926&lt;40,L926&gt;=30),"In the 30s",
L926&lt;30,"Below 30")</f>
        <v>Middle Aged</v>
      </c>
      <c r="N926" t="s">
        <v>15</v>
      </c>
    </row>
    <row r="927" spans="1:14" x14ac:dyDescent="0.25">
      <c r="A927">
        <v>15862</v>
      </c>
      <c r="B927" t="s">
        <v>37</v>
      </c>
      <c r="C927" t="s">
        <v>39</v>
      </c>
      <c r="D927" s="1">
        <v>50000</v>
      </c>
      <c r="E927" s="3">
        <v>0</v>
      </c>
      <c r="F927" t="s">
        <v>31</v>
      </c>
      <c r="G927" t="s">
        <v>14</v>
      </c>
      <c r="H927" t="s">
        <v>15</v>
      </c>
      <c r="I927" s="3">
        <v>0</v>
      </c>
      <c r="J927" t="s">
        <v>26</v>
      </c>
      <c r="K927" t="s">
        <v>32</v>
      </c>
      <c r="L927" s="3">
        <v>33</v>
      </c>
      <c r="M927" s="3" t="str" cm="1">
        <f t="array" ref="M927">_xlfn.IFS(
L927&gt;=65,"Retirement Age",
AND(L927&lt;65,L927&gt;=40),"Middle Aged",
AND(L927&lt;40,L927&gt;=30),"In the 30s",
L927&lt;30,"Below 30")</f>
        <v>In the 30s</v>
      </c>
      <c r="N927" t="s">
        <v>15</v>
      </c>
    </row>
    <row r="928" spans="1:14" x14ac:dyDescent="0.25">
      <c r="A928">
        <v>26495</v>
      </c>
      <c r="B928" t="s">
        <v>37</v>
      </c>
      <c r="C928" t="s">
        <v>39</v>
      </c>
      <c r="D928" s="1">
        <v>40000</v>
      </c>
      <c r="E928" s="3">
        <v>2</v>
      </c>
      <c r="F928" t="s">
        <v>27</v>
      </c>
      <c r="G928" t="s">
        <v>21</v>
      </c>
      <c r="H928" t="s">
        <v>15</v>
      </c>
      <c r="I928" s="3">
        <v>2</v>
      </c>
      <c r="J928" t="s">
        <v>45</v>
      </c>
      <c r="K928" t="s">
        <v>32</v>
      </c>
      <c r="L928" s="3">
        <v>57</v>
      </c>
      <c r="M928" s="3" t="str" cm="1">
        <f t="array" ref="M928">_xlfn.IFS(
L928&gt;=65,"Retirement Age",
AND(L928&lt;65,L928&gt;=40),"Middle Aged",
AND(L928&lt;40,L928&gt;=30),"In the 30s",
L928&lt;30,"Below 30")</f>
        <v>Middle Aged</v>
      </c>
      <c r="N928" t="s">
        <v>18</v>
      </c>
    </row>
    <row r="929" spans="1:14" x14ac:dyDescent="0.25">
      <c r="A929">
        <v>11823</v>
      </c>
      <c r="B929" t="s">
        <v>36</v>
      </c>
      <c r="C929" t="s">
        <v>39</v>
      </c>
      <c r="D929" s="1">
        <v>70000</v>
      </c>
      <c r="E929" s="3">
        <v>0</v>
      </c>
      <c r="F929" t="s">
        <v>31</v>
      </c>
      <c r="G929" t="s">
        <v>21</v>
      </c>
      <c r="H929" t="s">
        <v>15</v>
      </c>
      <c r="I929" s="3">
        <v>0</v>
      </c>
      <c r="J929" t="s">
        <v>22</v>
      </c>
      <c r="K929" t="s">
        <v>32</v>
      </c>
      <c r="L929" s="3">
        <v>39</v>
      </c>
      <c r="M929" s="3" t="str" cm="1">
        <f t="array" ref="M929">_xlfn.IFS(
L929&gt;=65,"Retirement Age",
AND(L929&lt;65,L929&gt;=40),"Middle Aged",
AND(L929&lt;40,L929&gt;=30),"In the 30s",
L929&lt;30,"Below 30")</f>
        <v>In the 30s</v>
      </c>
      <c r="N929" t="s">
        <v>18</v>
      </c>
    </row>
    <row r="930" spans="1:14" x14ac:dyDescent="0.25">
      <c r="A930">
        <v>23449</v>
      </c>
      <c r="B930" t="s">
        <v>36</v>
      </c>
      <c r="C930" t="s">
        <v>38</v>
      </c>
      <c r="D930" s="1">
        <v>60000</v>
      </c>
      <c r="E930" s="3">
        <v>2</v>
      </c>
      <c r="F930" t="s">
        <v>27</v>
      </c>
      <c r="G930" t="s">
        <v>21</v>
      </c>
      <c r="H930" t="s">
        <v>15</v>
      </c>
      <c r="I930" s="3">
        <v>2</v>
      </c>
      <c r="J930" t="s">
        <v>23</v>
      </c>
      <c r="K930" t="s">
        <v>32</v>
      </c>
      <c r="L930" s="3">
        <v>48</v>
      </c>
      <c r="M930" s="3" t="str" cm="1">
        <f t="array" ref="M930">_xlfn.IFS(
L930&gt;=65,"Retirement Age",
AND(L930&lt;65,L930&gt;=40),"Middle Aged",
AND(L930&lt;40,L930&gt;=30),"In the 30s",
L930&lt;30,"Below 30")</f>
        <v>Middle Aged</v>
      </c>
      <c r="N930" t="s">
        <v>18</v>
      </c>
    </row>
    <row r="931" spans="1:14" x14ac:dyDescent="0.25">
      <c r="A931">
        <v>23459</v>
      </c>
      <c r="B931" t="s">
        <v>36</v>
      </c>
      <c r="C931" t="s">
        <v>38</v>
      </c>
      <c r="D931" s="1">
        <v>60000</v>
      </c>
      <c r="E931" s="3">
        <v>2</v>
      </c>
      <c r="F931" t="s">
        <v>27</v>
      </c>
      <c r="G931" t="s">
        <v>21</v>
      </c>
      <c r="H931" t="s">
        <v>15</v>
      </c>
      <c r="I931" s="3">
        <v>2</v>
      </c>
      <c r="J931" t="s">
        <v>23</v>
      </c>
      <c r="K931" t="s">
        <v>32</v>
      </c>
      <c r="L931" s="3">
        <v>50</v>
      </c>
      <c r="M931" s="3" t="str" cm="1">
        <f t="array" ref="M931">_xlfn.IFS(
L931&gt;=65,"Retirement Age",
AND(L931&lt;65,L931&gt;=40),"Middle Aged",
AND(L931&lt;40,L931&gt;=30),"In the 30s",
L931&lt;30,"Below 30")</f>
        <v>Middle Aged</v>
      </c>
      <c r="N931" t="s">
        <v>18</v>
      </c>
    </row>
    <row r="932" spans="1:14" x14ac:dyDescent="0.25">
      <c r="A932">
        <v>19543</v>
      </c>
      <c r="B932" t="s">
        <v>36</v>
      </c>
      <c r="C932" t="s">
        <v>38</v>
      </c>
      <c r="D932" s="1">
        <v>70000</v>
      </c>
      <c r="E932" s="3">
        <v>5</v>
      </c>
      <c r="F932" t="s">
        <v>31</v>
      </c>
      <c r="G932" t="s">
        <v>21</v>
      </c>
      <c r="H932" t="s">
        <v>18</v>
      </c>
      <c r="I932" s="3">
        <v>3</v>
      </c>
      <c r="J932" t="s">
        <v>45</v>
      </c>
      <c r="K932" t="s">
        <v>32</v>
      </c>
      <c r="L932" s="3">
        <v>47</v>
      </c>
      <c r="M932" s="3" t="str" cm="1">
        <f t="array" ref="M932">_xlfn.IFS(
L932&gt;=65,"Retirement Age",
AND(L932&lt;65,L932&gt;=40),"Middle Aged",
AND(L932&lt;40,L932&gt;=30),"In the 30s",
L932&lt;30,"Below 30")</f>
        <v>Middle Aged</v>
      </c>
      <c r="N932" t="s">
        <v>18</v>
      </c>
    </row>
    <row r="933" spans="1:14" x14ac:dyDescent="0.25">
      <c r="A933">
        <v>14914</v>
      </c>
      <c r="B933" t="s">
        <v>36</v>
      </c>
      <c r="C933" t="s">
        <v>39</v>
      </c>
      <c r="D933" s="1">
        <v>40000</v>
      </c>
      <c r="E933" s="3">
        <v>1</v>
      </c>
      <c r="F933" t="s">
        <v>19</v>
      </c>
      <c r="G933" t="s">
        <v>20</v>
      </c>
      <c r="H933" t="s">
        <v>15</v>
      </c>
      <c r="I933" s="3">
        <v>1</v>
      </c>
      <c r="J933" t="s">
        <v>26</v>
      </c>
      <c r="K933" t="s">
        <v>32</v>
      </c>
      <c r="L933" s="3">
        <v>49</v>
      </c>
      <c r="M933" s="3" t="str" cm="1">
        <f t="array" ref="M933">_xlfn.IFS(
L933&gt;=65,"Retirement Age",
AND(L933&lt;65,L933&gt;=40),"Middle Aged",
AND(L933&lt;40,L933&gt;=30),"In the 30s",
L933&lt;30,"Below 30")</f>
        <v>Middle Aged</v>
      </c>
      <c r="N933" t="s">
        <v>15</v>
      </c>
    </row>
    <row r="934" spans="1:14" x14ac:dyDescent="0.25">
      <c r="A934">
        <v>12033</v>
      </c>
      <c r="B934" t="s">
        <v>37</v>
      </c>
      <c r="C934" t="s">
        <v>39</v>
      </c>
      <c r="D934" s="1">
        <v>40000</v>
      </c>
      <c r="E934" s="3">
        <v>0</v>
      </c>
      <c r="F934" t="s">
        <v>27</v>
      </c>
      <c r="G934" t="s">
        <v>14</v>
      </c>
      <c r="H934" t="s">
        <v>18</v>
      </c>
      <c r="I934" s="3">
        <v>2</v>
      </c>
      <c r="J934" t="s">
        <v>16</v>
      </c>
      <c r="K934" t="s">
        <v>32</v>
      </c>
      <c r="L934" s="3">
        <v>27</v>
      </c>
      <c r="M934" s="3" t="str" cm="1">
        <f t="array" ref="M934">_xlfn.IFS(
L934&gt;=65,"Retirement Age",
AND(L934&lt;65,L934&gt;=40),"Middle Aged",
AND(L934&lt;40,L934&gt;=30),"In the 30s",
L934&lt;30,"Below 30")</f>
        <v>Below 30</v>
      </c>
      <c r="N934" t="s">
        <v>15</v>
      </c>
    </row>
    <row r="935" spans="1:14" x14ac:dyDescent="0.25">
      <c r="A935">
        <v>11941</v>
      </c>
      <c r="B935" t="s">
        <v>37</v>
      </c>
      <c r="C935" t="s">
        <v>38</v>
      </c>
      <c r="D935" s="1">
        <v>60000</v>
      </c>
      <c r="E935" s="3">
        <v>0</v>
      </c>
      <c r="F935" t="s">
        <v>19</v>
      </c>
      <c r="G935" t="s">
        <v>14</v>
      </c>
      <c r="H935" t="s">
        <v>15</v>
      </c>
      <c r="I935" s="3">
        <v>0</v>
      </c>
      <c r="J935" t="s">
        <v>23</v>
      </c>
      <c r="K935" t="s">
        <v>32</v>
      </c>
      <c r="L935" s="3">
        <v>29</v>
      </c>
      <c r="M935" s="3" t="str" cm="1">
        <f t="array" ref="M935">_xlfn.IFS(
L935&gt;=65,"Retirement Age",
AND(L935&lt;65,L935&gt;=40),"Middle Aged",
AND(L935&lt;40,L935&gt;=30),"In the 30s",
L935&lt;30,"Below 30")</f>
        <v>Below 30</v>
      </c>
      <c r="N935" t="s">
        <v>18</v>
      </c>
    </row>
    <row r="936" spans="1:14" x14ac:dyDescent="0.25">
      <c r="A936">
        <v>14389</v>
      </c>
      <c r="B936" t="s">
        <v>36</v>
      </c>
      <c r="C936" t="s">
        <v>38</v>
      </c>
      <c r="D936" s="1">
        <v>60000</v>
      </c>
      <c r="E936" s="3">
        <v>2</v>
      </c>
      <c r="F936" t="s">
        <v>13</v>
      </c>
      <c r="G936" t="s">
        <v>28</v>
      </c>
      <c r="H936" t="s">
        <v>15</v>
      </c>
      <c r="I936" s="3">
        <v>0</v>
      </c>
      <c r="J936" t="s">
        <v>22</v>
      </c>
      <c r="K936" t="s">
        <v>32</v>
      </c>
      <c r="L936" s="3">
        <v>59</v>
      </c>
      <c r="M936" s="3" t="str" cm="1">
        <f t="array" ref="M936">_xlfn.IFS(
L936&gt;=65,"Retirement Age",
AND(L936&lt;65,L936&gt;=40),"Middle Aged",
AND(L936&lt;40,L936&gt;=30),"In the 30s",
L936&lt;30,"Below 30")</f>
        <v>Middle Aged</v>
      </c>
      <c r="N936" t="s">
        <v>18</v>
      </c>
    </row>
    <row r="937" spans="1:14" x14ac:dyDescent="0.25">
      <c r="A937">
        <v>18050</v>
      </c>
      <c r="B937" t="s">
        <v>36</v>
      </c>
      <c r="C937" t="s">
        <v>39</v>
      </c>
      <c r="D937" s="1">
        <v>60000</v>
      </c>
      <c r="E937" s="3">
        <v>1</v>
      </c>
      <c r="F937" t="s">
        <v>19</v>
      </c>
      <c r="G937" t="s">
        <v>14</v>
      </c>
      <c r="H937" t="s">
        <v>15</v>
      </c>
      <c r="I937" s="3">
        <v>1</v>
      </c>
      <c r="J937" t="s">
        <v>16</v>
      </c>
      <c r="K937" t="s">
        <v>32</v>
      </c>
      <c r="L937" s="3">
        <v>45</v>
      </c>
      <c r="M937" s="3" t="str" cm="1">
        <f t="array" ref="M937">_xlfn.IFS(
L937&gt;=65,"Retirement Age",
AND(L937&lt;65,L937&gt;=40),"Middle Aged",
AND(L937&lt;40,L937&gt;=30),"In the 30s",
L937&lt;30,"Below 30")</f>
        <v>Middle Aged</v>
      </c>
      <c r="N937" t="s">
        <v>15</v>
      </c>
    </row>
    <row r="938" spans="1:14" x14ac:dyDescent="0.25">
      <c r="A938">
        <v>19856</v>
      </c>
      <c r="B938" t="s">
        <v>36</v>
      </c>
      <c r="C938" t="s">
        <v>39</v>
      </c>
      <c r="D938" s="1">
        <v>60000</v>
      </c>
      <c r="E938" s="3">
        <v>4</v>
      </c>
      <c r="F938" t="s">
        <v>13</v>
      </c>
      <c r="G938" t="s">
        <v>28</v>
      </c>
      <c r="H938" t="s">
        <v>15</v>
      </c>
      <c r="I938" s="3">
        <v>2</v>
      </c>
      <c r="J938" t="s">
        <v>22</v>
      </c>
      <c r="K938" t="s">
        <v>32</v>
      </c>
      <c r="L938" s="3">
        <v>60</v>
      </c>
      <c r="M938" s="3" t="str" cm="1">
        <f t="array" ref="M938">_xlfn.IFS(
L938&gt;=65,"Retirement Age",
AND(L938&lt;65,L938&gt;=40),"Middle Aged",
AND(L938&lt;40,L938&gt;=30),"In the 30s",
L938&lt;30,"Below 30")</f>
        <v>Middle Aged</v>
      </c>
      <c r="N938" t="s">
        <v>18</v>
      </c>
    </row>
    <row r="939" spans="1:14" x14ac:dyDescent="0.25">
      <c r="A939">
        <v>11663</v>
      </c>
      <c r="B939" t="s">
        <v>36</v>
      </c>
      <c r="C939" t="s">
        <v>38</v>
      </c>
      <c r="D939" s="1">
        <v>70000</v>
      </c>
      <c r="E939" s="3">
        <v>4</v>
      </c>
      <c r="F939" t="s">
        <v>31</v>
      </c>
      <c r="G939" t="s">
        <v>21</v>
      </c>
      <c r="H939" t="s">
        <v>15</v>
      </c>
      <c r="I939" s="3">
        <v>0</v>
      </c>
      <c r="J939" t="s">
        <v>16</v>
      </c>
      <c r="K939" t="s">
        <v>32</v>
      </c>
      <c r="L939" s="3">
        <v>36</v>
      </c>
      <c r="M939" s="3" t="str" cm="1">
        <f t="array" ref="M939">_xlfn.IFS(
L939&gt;=65,"Retirement Age",
AND(L939&lt;65,L939&gt;=40),"Middle Aged",
AND(L939&lt;40,L939&gt;=30),"In the 30s",
L939&lt;30,"Below 30")</f>
        <v>In the 30s</v>
      </c>
      <c r="N939" t="s">
        <v>15</v>
      </c>
    </row>
    <row r="940" spans="1:14" x14ac:dyDescent="0.25">
      <c r="A940">
        <v>27740</v>
      </c>
      <c r="B940" t="s">
        <v>36</v>
      </c>
      <c r="C940" t="s">
        <v>39</v>
      </c>
      <c r="D940" s="1">
        <v>40000</v>
      </c>
      <c r="E940" s="3">
        <v>0</v>
      </c>
      <c r="F940" t="s">
        <v>27</v>
      </c>
      <c r="G940" t="s">
        <v>14</v>
      </c>
      <c r="H940" t="s">
        <v>15</v>
      </c>
      <c r="I940" s="3">
        <v>2</v>
      </c>
      <c r="J940" t="s">
        <v>23</v>
      </c>
      <c r="K940" t="s">
        <v>32</v>
      </c>
      <c r="L940" s="3">
        <v>27</v>
      </c>
      <c r="M940" s="3" t="str" cm="1">
        <f t="array" ref="M940">_xlfn.IFS(
L940&gt;=65,"Retirement Age",
AND(L940&lt;65,L940&gt;=40),"Middle Aged",
AND(L940&lt;40,L940&gt;=30),"In the 30s",
L940&lt;30,"Below 30")</f>
        <v>Below 30</v>
      </c>
      <c r="N940" t="s">
        <v>18</v>
      </c>
    </row>
    <row r="941" spans="1:14" x14ac:dyDescent="0.25">
      <c r="A941">
        <v>23455</v>
      </c>
      <c r="B941" t="s">
        <v>37</v>
      </c>
      <c r="C941" t="s">
        <v>38</v>
      </c>
      <c r="D941" s="1">
        <v>80000</v>
      </c>
      <c r="E941" s="3">
        <v>2</v>
      </c>
      <c r="F941" t="s">
        <v>29</v>
      </c>
      <c r="G941" t="s">
        <v>14</v>
      </c>
      <c r="H941" t="s">
        <v>18</v>
      </c>
      <c r="I941" s="3">
        <v>2</v>
      </c>
      <c r="J941" t="s">
        <v>26</v>
      </c>
      <c r="K941" t="s">
        <v>32</v>
      </c>
      <c r="L941" s="3">
        <v>50</v>
      </c>
      <c r="M941" s="3" t="str" cm="1">
        <f t="array" ref="M941">_xlfn.IFS(
L941&gt;=65,"Retirement Age",
AND(L941&lt;65,L941&gt;=40),"Middle Aged",
AND(L941&lt;40,L941&gt;=30),"In the 30s",
L941&lt;30,"Below 30")</f>
        <v>Middle Aged</v>
      </c>
      <c r="N941" t="s">
        <v>18</v>
      </c>
    </row>
    <row r="942" spans="1:14" x14ac:dyDescent="0.25">
      <c r="A942">
        <v>15292</v>
      </c>
      <c r="B942" t="s">
        <v>37</v>
      </c>
      <c r="C942" t="s">
        <v>39</v>
      </c>
      <c r="D942" s="1">
        <v>60000</v>
      </c>
      <c r="E942" s="3">
        <v>1</v>
      </c>
      <c r="F942" t="s">
        <v>31</v>
      </c>
      <c r="G942" t="s">
        <v>14</v>
      </c>
      <c r="H942" t="s">
        <v>15</v>
      </c>
      <c r="I942" s="3">
        <v>0</v>
      </c>
      <c r="J942" t="s">
        <v>26</v>
      </c>
      <c r="K942" t="s">
        <v>32</v>
      </c>
      <c r="L942" s="3">
        <v>35</v>
      </c>
      <c r="M942" s="3" t="str" cm="1">
        <f t="array" ref="M942">_xlfn.IFS(
L942&gt;=65,"Retirement Age",
AND(L942&lt;65,L942&gt;=40),"Middle Aged",
AND(L942&lt;40,L942&gt;=30),"In the 30s",
L942&lt;30,"Below 30")</f>
        <v>In the 30s</v>
      </c>
      <c r="N942" t="s">
        <v>18</v>
      </c>
    </row>
    <row r="943" spans="1:14" x14ac:dyDescent="0.25">
      <c r="A943">
        <v>21587</v>
      </c>
      <c r="B943" t="s">
        <v>36</v>
      </c>
      <c r="C943" t="s">
        <v>39</v>
      </c>
      <c r="D943" s="1">
        <v>60000</v>
      </c>
      <c r="E943" s="3">
        <v>1</v>
      </c>
      <c r="F943" t="s">
        <v>31</v>
      </c>
      <c r="G943" t="s">
        <v>14</v>
      </c>
      <c r="H943" t="s">
        <v>15</v>
      </c>
      <c r="I943" s="3">
        <v>0</v>
      </c>
      <c r="J943" t="s">
        <v>22</v>
      </c>
      <c r="K943" t="s">
        <v>32</v>
      </c>
      <c r="L943" s="3">
        <v>34</v>
      </c>
      <c r="M943" s="3" t="str" cm="1">
        <f t="array" ref="M943">_xlfn.IFS(
L943&gt;=65,"Retirement Age",
AND(L943&lt;65,L943&gt;=40),"Middle Aged",
AND(L943&lt;40,L943&gt;=30),"In the 30s",
L943&lt;30,"Below 30")</f>
        <v>In the 30s</v>
      </c>
      <c r="N943" t="s">
        <v>15</v>
      </c>
    </row>
    <row r="944" spans="1:14" x14ac:dyDescent="0.25">
      <c r="A944">
        <v>23513</v>
      </c>
      <c r="B944" t="s">
        <v>36</v>
      </c>
      <c r="C944" t="s">
        <v>39</v>
      </c>
      <c r="D944" s="1">
        <v>40000</v>
      </c>
      <c r="E944" s="3">
        <v>3</v>
      </c>
      <c r="F944" t="s">
        <v>19</v>
      </c>
      <c r="G944" t="s">
        <v>21</v>
      </c>
      <c r="H944" t="s">
        <v>15</v>
      </c>
      <c r="I944" s="3">
        <v>2</v>
      </c>
      <c r="J944" t="s">
        <v>23</v>
      </c>
      <c r="K944" t="s">
        <v>32</v>
      </c>
      <c r="L944" s="3">
        <v>54</v>
      </c>
      <c r="M944" s="3" t="str" cm="1">
        <f t="array" ref="M944">_xlfn.IFS(
L944&gt;=65,"Retirement Age",
AND(L944&lt;65,L944&gt;=40),"Middle Aged",
AND(L944&lt;40,L944&gt;=30),"In the 30s",
L944&lt;30,"Below 30")</f>
        <v>Middle Aged</v>
      </c>
      <c r="N944" t="s">
        <v>18</v>
      </c>
    </row>
    <row r="945" spans="1:14" x14ac:dyDescent="0.25">
      <c r="A945">
        <v>24322</v>
      </c>
      <c r="B945" t="s">
        <v>36</v>
      </c>
      <c r="C945" t="s">
        <v>39</v>
      </c>
      <c r="D945" s="1">
        <v>60000</v>
      </c>
      <c r="E945" s="3">
        <v>4</v>
      </c>
      <c r="F945" t="s">
        <v>13</v>
      </c>
      <c r="G945" t="s">
        <v>14</v>
      </c>
      <c r="H945" t="s">
        <v>18</v>
      </c>
      <c r="I945" s="3">
        <v>2</v>
      </c>
      <c r="J945" t="s">
        <v>16</v>
      </c>
      <c r="K945" t="s">
        <v>32</v>
      </c>
      <c r="L945" s="3">
        <v>42</v>
      </c>
      <c r="M945" s="3" t="str" cm="1">
        <f t="array" ref="M945">_xlfn.IFS(
L945&gt;=65,"Retirement Age",
AND(L945&lt;65,L945&gt;=40),"Middle Aged",
AND(L945&lt;40,L945&gt;=30),"In the 30s",
L945&lt;30,"Below 30")</f>
        <v>Middle Aged</v>
      </c>
      <c r="N945" t="s">
        <v>18</v>
      </c>
    </row>
    <row r="946" spans="1:14" x14ac:dyDescent="0.25">
      <c r="A946">
        <v>26298</v>
      </c>
      <c r="B946" t="s">
        <v>36</v>
      </c>
      <c r="C946" t="s">
        <v>39</v>
      </c>
      <c r="D946" s="1">
        <v>50000</v>
      </c>
      <c r="E946" s="3">
        <v>1</v>
      </c>
      <c r="F946" t="s">
        <v>13</v>
      </c>
      <c r="G946" t="s">
        <v>14</v>
      </c>
      <c r="H946" t="s">
        <v>15</v>
      </c>
      <c r="I946" s="3">
        <v>0</v>
      </c>
      <c r="J946" t="s">
        <v>22</v>
      </c>
      <c r="K946" t="s">
        <v>32</v>
      </c>
      <c r="L946" s="3">
        <v>34</v>
      </c>
      <c r="M946" s="3" t="str" cm="1">
        <f t="array" ref="M946">_xlfn.IFS(
L946&gt;=65,"Retirement Age",
AND(L946&lt;65,L946&gt;=40),"Middle Aged",
AND(L946&lt;40,L946&gt;=30),"In the 30s",
L946&lt;30,"Below 30")</f>
        <v>In the 30s</v>
      </c>
      <c r="N946" t="s">
        <v>15</v>
      </c>
    </row>
    <row r="947" spans="1:14" x14ac:dyDescent="0.25">
      <c r="A947">
        <v>25419</v>
      </c>
      <c r="B947" t="s">
        <v>37</v>
      </c>
      <c r="C947" t="s">
        <v>38</v>
      </c>
      <c r="D947" s="1">
        <v>50000</v>
      </c>
      <c r="E947" s="3">
        <v>2</v>
      </c>
      <c r="F947" t="s">
        <v>13</v>
      </c>
      <c r="G947" t="s">
        <v>14</v>
      </c>
      <c r="H947" t="s">
        <v>18</v>
      </c>
      <c r="I947" s="3">
        <v>1</v>
      </c>
      <c r="J947" t="s">
        <v>16</v>
      </c>
      <c r="K947" t="s">
        <v>32</v>
      </c>
      <c r="L947" s="3">
        <v>38</v>
      </c>
      <c r="M947" s="3" t="str" cm="1">
        <f t="array" ref="M947">_xlfn.IFS(
L947&gt;=65,"Retirement Age",
AND(L947&lt;65,L947&gt;=40),"Middle Aged",
AND(L947&lt;40,L947&gt;=30),"In the 30s",
L947&lt;30,"Below 30")</f>
        <v>In the 30s</v>
      </c>
      <c r="N947" t="s">
        <v>15</v>
      </c>
    </row>
    <row r="948" spans="1:14" x14ac:dyDescent="0.25">
      <c r="A948">
        <v>13343</v>
      </c>
      <c r="B948" t="s">
        <v>36</v>
      </c>
      <c r="C948" t="s">
        <v>39</v>
      </c>
      <c r="D948" s="1">
        <v>90000</v>
      </c>
      <c r="E948" s="3">
        <v>5</v>
      </c>
      <c r="F948" t="s">
        <v>13</v>
      </c>
      <c r="G948" t="s">
        <v>28</v>
      </c>
      <c r="H948" t="s">
        <v>15</v>
      </c>
      <c r="I948" s="3">
        <v>2</v>
      </c>
      <c r="J948" t="s">
        <v>26</v>
      </c>
      <c r="K948" t="s">
        <v>32</v>
      </c>
      <c r="L948" s="3">
        <v>63</v>
      </c>
      <c r="M948" s="3" t="str" cm="1">
        <f t="array" ref="M948">_xlfn.IFS(
L948&gt;=65,"Retirement Age",
AND(L948&lt;65,L948&gt;=40),"Middle Aged",
AND(L948&lt;40,L948&gt;=30),"In the 30s",
L948&lt;30,"Below 30")</f>
        <v>Middle Aged</v>
      </c>
      <c r="N948" t="s">
        <v>15</v>
      </c>
    </row>
    <row r="949" spans="1:14" x14ac:dyDescent="0.25">
      <c r="A949">
        <v>11303</v>
      </c>
      <c r="B949" t="s">
        <v>37</v>
      </c>
      <c r="C949" t="s">
        <v>39</v>
      </c>
      <c r="D949" s="1">
        <v>90000</v>
      </c>
      <c r="E949" s="3">
        <v>4</v>
      </c>
      <c r="F949" t="s">
        <v>27</v>
      </c>
      <c r="G949" t="s">
        <v>21</v>
      </c>
      <c r="H949" t="s">
        <v>18</v>
      </c>
      <c r="I949" s="3">
        <v>3</v>
      </c>
      <c r="J949" t="s">
        <v>26</v>
      </c>
      <c r="K949" t="s">
        <v>32</v>
      </c>
      <c r="L949" s="3">
        <v>45</v>
      </c>
      <c r="M949" s="3" t="str" cm="1">
        <f t="array" ref="M949">_xlfn.IFS(
L949&gt;=65,"Retirement Age",
AND(L949&lt;65,L949&gt;=40),"Middle Aged",
AND(L949&lt;40,L949&gt;=30),"In the 30s",
L949&lt;30,"Below 30")</f>
        <v>Middle Aged</v>
      </c>
      <c r="N949" t="s">
        <v>15</v>
      </c>
    </row>
    <row r="950" spans="1:14" x14ac:dyDescent="0.25">
      <c r="A950">
        <v>21693</v>
      </c>
      <c r="B950" t="s">
        <v>37</v>
      </c>
      <c r="C950" t="s">
        <v>39</v>
      </c>
      <c r="D950" s="1">
        <v>60000</v>
      </c>
      <c r="E950" s="3">
        <v>0</v>
      </c>
      <c r="F950" t="s">
        <v>31</v>
      </c>
      <c r="G950" t="s">
        <v>14</v>
      </c>
      <c r="H950" t="s">
        <v>18</v>
      </c>
      <c r="I950" s="3">
        <v>0</v>
      </c>
      <c r="J950" t="s">
        <v>16</v>
      </c>
      <c r="K950" t="s">
        <v>32</v>
      </c>
      <c r="L950" s="3">
        <v>40</v>
      </c>
      <c r="M950" s="3" t="str" cm="1">
        <f t="array" ref="M950">_xlfn.IFS(
L950&gt;=65,"Retirement Age",
AND(L950&lt;65,L950&gt;=40),"Middle Aged",
AND(L950&lt;40,L950&gt;=30),"In the 30s",
L950&lt;30,"Below 30")</f>
        <v>Middle Aged</v>
      </c>
      <c r="N950" t="s">
        <v>18</v>
      </c>
    </row>
    <row r="951" spans="1:14" x14ac:dyDescent="0.25">
      <c r="A951">
        <v>28056</v>
      </c>
      <c r="B951" t="s">
        <v>36</v>
      </c>
      <c r="C951" t="s">
        <v>38</v>
      </c>
      <c r="D951" s="1">
        <v>70000</v>
      </c>
      <c r="E951" s="3">
        <v>2</v>
      </c>
      <c r="F951" t="s">
        <v>29</v>
      </c>
      <c r="G951" t="s">
        <v>14</v>
      </c>
      <c r="H951" t="s">
        <v>15</v>
      </c>
      <c r="I951" s="3">
        <v>2</v>
      </c>
      <c r="J951" t="s">
        <v>45</v>
      </c>
      <c r="K951" t="s">
        <v>32</v>
      </c>
      <c r="L951" s="3">
        <v>53</v>
      </c>
      <c r="M951" s="3" t="str" cm="1">
        <f t="array" ref="M951">_xlfn.IFS(
L951&gt;=65,"Retirement Age",
AND(L951&lt;65,L951&gt;=40),"Middle Aged",
AND(L951&lt;40,L951&gt;=30),"In the 30s",
L951&lt;30,"Below 30")</f>
        <v>Middle Aged</v>
      </c>
      <c r="N951" t="s">
        <v>18</v>
      </c>
    </row>
    <row r="952" spans="1:14" x14ac:dyDescent="0.25">
      <c r="A952">
        <v>11788</v>
      </c>
      <c r="B952" t="s">
        <v>37</v>
      </c>
      <c r="C952" t="s">
        <v>39</v>
      </c>
      <c r="D952" s="1">
        <v>70000</v>
      </c>
      <c r="E952" s="3">
        <v>1</v>
      </c>
      <c r="F952" t="s">
        <v>31</v>
      </c>
      <c r="G952" t="s">
        <v>21</v>
      </c>
      <c r="H952" t="s">
        <v>15</v>
      </c>
      <c r="I952" s="3">
        <v>0</v>
      </c>
      <c r="J952" t="s">
        <v>22</v>
      </c>
      <c r="K952" t="s">
        <v>32</v>
      </c>
      <c r="L952" s="3">
        <v>34</v>
      </c>
      <c r="M952" s="3" t="str" cm="1">
        <f t="array" ref="M952">_xlfn.IFS(
L952&gt;=65,"Retirement Age",
AND(L952&lt;65,L952&gt;=40),"Middle Aged",
AND(L952&lt;40,L952&gt;=30),"In the 30s",
L952&lt;30,"Below 30")</f>
        <v>In the 30s</v>
      </c>
      <c r="N952" t="s">
        <v>18</v>
      </c>
    </row>
    <row r="953" spans="1:14" x14ac:dyDescent="0.25">
      <c r="A953">
        <v>22296</v>
      </c>
      <c r="B953" t="s">
        <v>36</v>
      </c>
      <c r="C953" t="s">
        <v>38</v>
      </c>
      <c r="D953" s="1">
        <v>70000</v>
      </c>
      <c r="E953" s="3">
        <v>0</v>
      </c>
      <c r="F953" t="s">
        <v>13</v>
      </c>
      <c r="G953" t="s">
        <v>21</v>
      </c>
      <c r="H953" t="s">
        <v>18</v>
      </c>
      <c r="I953" s="3">
        <v>1</v>
      </c>
      <c r="J953" t="s">
        <v>16</v>
      </c>
      <c r="K953" t="s">
        <v>32</v>
      </c>
      <c r="L953" s="3">
        <v>38</v>
      </c>
      <c r="M953" s="3" t="str" cm="1">
        <f t="array" ref="M953">_xlfn.IFS(
L953&gt;=65,"Retirement Age",
AND(L953&lt;65,L953&gt;=40),"Middle Aged",
AND(L953&lt;40,L953&gt;=30),"In the 30s",
L953&lt;30,"Below 30")</f>
        <v>In the 30s</v>
      </c>
      <c r="N953" t="s">
        <v>18</v>
      </c>
    </row>
    <row r="954" spans="1:14" x14ac:dyDescent="0.25">
      <c r="A954">
        <v>15319</v>
      </c>
      <c r="B954" t="s">
        <v>36</v>
      </c>
      <c r="C954" t="s">
        <v>39</v>
      </c>
      <c r="D954" s="1">
        <v>70000</v>
      </c>
      <c r="E954" s="3">
        <v>4</v>
      </c>
      <c r="F954" t="s">
        <v>13</v>
      </c>
      <c r="G954" t="s">
        <v>28</v>
      </c>
      <c r="H954" t="s">
        <v>18</v>
      </c>
      <c r="I954" s="3">
        <v>1</v>
      </c>
      <c r="J954" t="s">
        <v>26</v>
      </c>
      <c r="K954" t="s">
        <v>32</v>
      </c>
      <c r="L954" s="3">
        <v>59</v>
      </c>
      <c r="M954" s="3" t="str" cm="1">
        <f t="array" ref="M954">_xlfn.IFS(
L954&gt;=65,"Retirement Age",
AND(L954&lt;65,L954&gt;=40),"Middle Aged",
AND(L954&lt;40,L954&gt;=30),"In the 30s",
L954&lt;30,"Below 30")</f>
        <v>Middle Aged</v>
      </c>
      <c r="N954" t="s">
        <v>18</v>
      </c>
    </row>
    <row r="955" spans="1:14" x14ac:dyDescent="0.25">
      <c r="A955">
        <v>17654</v>
      </c>
      <c r="B955" t="s">
        <v>37</v>
      </c>
      <c r="C955" t="s">
        <v>39</v>
      </c>
      <c r="D955" s="1">
        <v>40000</v>
      </c>
      <c r="E955" s="3">
        <v>3</v>
      </c>
      <c r="F955" t="s">
        <v>19</v>
      </c>
      <c r="G955" t="s">
        <v>20</v>
      </c>
      <c r="H955" t="s">
        <v>15</v>
      </c>
      <c r="I955" s="3">
        <v>1</v>
      </c>
      <c r="J955" t="s">
        <v>26</v>
      </c>
      <c r="K955" t="s">
        <v>32</v>
      </c>
      <c r="L955" s="3">
        <v>30</v>
      </c>
      <c r="M955" s="3" t="str" cm="1">
        <f t="array" ref="M955">_xlfn.IFS(
L955&gt;=65,"Retirement Age",
AND(L955&lt;65,L955&gt;=40),"Middle Aged",
AND(L955&lt;40,L955&gt;=30),"In the 30s",
L955&lt;30,"Below 30")</f>
        <v>In the 30s</v>
      </c>
      <c r="N955" t="s">
        <v>15</v>
      </c>
    </row>
    <row r="956" spans="1:14" x14ac:dyDescent="0.25">
      <c r="A956">
        <v>14662</v>
      </c>
      <c r="B956" t="s">
        <v>36</v>
      </c>
      <c r="C956" t="s">
        <v>38</v>
      </c>
      <c r="D956" s="1">
        <v>60000</v>
      </c>
      <c r="E956" s="3">
        <v>1</v>
      </c>
      <c r="F956" t="s">
        <v>13</v>
      </c>
      <c r="G956" t="s">
        <v>21</v>
      </c>
      <c r="H956" t="s">
        <v>15</v>
      </c>
      <c r="I956" s="3">
        <v>1</v>
      </c>
      <c r="J956" t="s">
        <v>16</v>
      </c>
      <c r="K956" t="s">
        <v>32</v>
      </c>
      <c r="L956" s="3">
        <v>48</v>
      </c>
      <c r="M956" s="3" t="str" cm="1">
        <f t="array" ref="M956">_xlfn.IFS(
L956&gt;=65,"Retirement Age",
AND(L956&lt;65,L956&gt;=40),"Middle Aged",
AND(L956&lt;40,L956&gt;=30),"In the 30s",
L956&lt;30,"Below 30")</f>
        <v>Middle Aged</v>
      </c>
      <c r="N956" t="s">
        <v>15</v>
      </c>
    </row>
    <row r="957" spans="1:14" x14ac:dyDescent="0.25">
      <c r="A957">
        <v>17541</v>
      </c>
      <c r="B957" t="s">
        <v>36</v>
      </c>
      <c r="C957" t="s">
        <v>39</v>
      </c>
      <c r="D957" s="1">
        <v>40000</v>
      </c>
      <c r="E957" s="3">
        <v>4</v>
      </c>
      <c r="F957" t="s">
        <v>27</v>
      </c>
      <c r="G957" t="s">
        <v>14</v>
      </c>
      <c r="H957" t="s">
        <v>15</v>
      </c>
      <c r="I957" s="3">
        <v>2</v>
      </c>
      <c r="J957" t="s">
        <v>22</v>
      </c>
      <c r="K957" t="s">
        <v>32</v>
      </c>
      <c r="L957" s="3">
        <v>43</v>
      </c>
      <c r="M957" s="3" t="str" cm="1">
        <f t="array" ref="M957">_xlfn.IFS(
L957&gt;=65,"Retirement Age",
AND(L957&lt;65,L957&gt;=40),"Middle Aged",
AND(L957&lt;40,L957&gt;=30),"In the 30s",
L957&lt;30,"Below 30")</f>
        <v>Middle Aged</v>
      </c>
      <c r="N957" t="s">
        <v>18</v>
      </c>
    </row>
    <row r="958" spans="1:14" x14ac:dyDescent="0.25">
      <c r="A958">
        <v>13886</v>
      </c>
      <c r="B958" t="s">
        <v>36</v>
      </c>
      <c r="C958" t="s">
        <v>39</v>
      </c>
      <c r="D958" s="1">
        <v>70000</v>
      </c>
      <c r="E958" s="3">
        <v>4</v>
      </c>
      <c r="F958" t="s">
        <v>31</v>
      </c>
      <c r="G958" t="s">
        <v>21</v>
      </c>
      <c r="H958" t="s">
        <v>15</v>
      </c>
      <c r="I958" s="3">
        <v>0</v>
      </c>
      <c r="J958" t="s">
        <v>22</v>
      </c>
      <c r="K958" t="s">
        <v>32</v>
      </c>
      <c r="L958" s="3">
        <v>35</v>
      </c>
      <c r="M958" s="3" t="str" cm="1">
        <f t="array" ref="M958">_xlfn.IFS(
L958&gt;=65,"Retirement Age",
AND(L958&lt;65,L958&gt;=40),"Middle Aged",
AND(L958&lt;40,L958&gt;=30),"In the 30s",
L958&lt;30,"Below 30")</f>
        <v>In the 30s</v>
      </c>
      <c r="N958" t="s">
        <v>15</v>
      </c>
    </row>
    <row r="959" spans="1:14" x14ac:dyDescent="0.25">
      <c r="A959">
        <v>13073</v>
      </c>
      <c r="B959" t="s">
        <v>36</v>
      </c>
      <c r="C959" t="s">
        <v>39</v>
      </c>
      <c r="D959" s="1">
        <v>60000</v>
      </c>
      <c r="E959" s="3">
        <v>0</v>
      </c>
      <c r="F959" t="s">
        <v>19</v>
      </c>
      <c r="G959" t="s">
        <v>21</v>
      </c>
      <c r="H959" t="s">
        <v>15</v>
      </c>
      <c r="I959" s="3">
        <v>2</v>
      </c>
      <c r="J959" t="s">
        <v>23</v>
      </c>
      <c r="K959" t="s">
        <v>32</v>
      </c>
      <c r="L959" s="3">
        <v>30</v>
      </c>
      <c r="M959" s="3" t="str" cm="1">
        <f t="array" ref="M959">_xlfn.IFS(
L959&gt;=65,"Retirement Age",
AND(L959&lt;65,L959&gt;=40),"Middle Aged",
AND(L959&lt;40,L959&gt;=30),"In the 30s",
L959&lt;30,"Below 30")</f>
        <v>In the 30s</v>
      </c>
      <c r="N959" t="s">
        <v>18</v>
      </c>
    </row>
    <row r="960" spans="1:14" x14ac:dyDescent="0.25">
      <c r="A960">
        <v>21940</v>
      </c>
      <c r="B960" t="s">
        <v>36</v>
      </c>
      <c r="C960" t="s">
        <v>38</v>
      </c>
      <c r="D960" s="1">
        <v>90000</v>
      </c>
      <c r="E960" s="3">
        <v>5</v>
      </c>
      <c r="F960" t="s">
        <v>31</v>
      </c>
      <c r="G960" t="s">
        <v>21</v>
      </c>
      <c r="H960" t="s">
        <v>15</v>
      </c>
      <c r="I960" s="3">
        <v>0</v>
      </c>
      <c r="J960" t="s">
        <v>16</v>
      </c>
      <c r="K960" t="s">
        <v>32</v>
      </c>
      <c r="L960" s="3">
        <v>47</v>
      </c>
      <c r="M960" s="3" t="str" cm="1">
        <f t="array" ref="M960">_xlfn.IFS(
L960&gt;=65,"Retirement Age",
AND(L960&lt;65,L960&gt;=40),"Middle Aged",
AND(L960&lt;40,L960&gt;=30),"In the 30s",
L960&lt;30,"Below 30")</f>
        <v>Middle Aged</v>
      </c>
      <c r="N960" t="s">
        <v>15</v>
      </c>
    </row>
    <row r="961" spans="1:14" x14ac:dyDescent="0.25">
      <c r="A961">
        <v>20196</v>
      </c>
      <c r="B961" t="s">
        <v>36</v>
      </c>
      <c r="C961" t="s">
        <v>38</v>
      </c>
      <c r="D961" s="1">
        <v>60000</v>
      </c>
      <c r="E961" s="3">
        <v>1</v>
      </c>
      <c r="F961" t="s">
        <v>19</v>
      </c>
      <c r="G961" t="s">
        <v>14</v>
      </c>
      <c r="H961" t="s">
        <v>15</v>
      </c>
      <c r="I961" s="3">
        <v>1</v>
      </c>
      <c r="J961" t="s">
        <v>22</v>
      </c>
      <c r="K961" t="s">
        <v>32</v>
      </c>
      <c r="L961" s="3">
        <v>45</v>
      </c>
      <c r="M961" s="3" t="str" cm="1">
        <f t="array" ref="M961">_xlfn.IFS(
L961&gt;=65,"Retirement Age",
AND(L961&lt;65,L961&gt;=40),"Middle Aged",
AND(L961&lt;40,L961&gt;=30),"In the 30s",
L961&lt;30,"Below 30")</f>
        <v>Middle Aged</v>
      </c>
      <c r="N961" t="s">
        <v>15</v>
      </c>
    </row>
    <row r="962" spans="1:14" x14ac:dyDescent="0.25">
      <c r="A962">
        <v>23491</v>
      </c>
      <c r="B962" t="s">
        <v>37</v>
      </c>
      <c r="C962" t="s">
        <v>38</v>
      </c>
      <c r="D962" s="1">
        <v>100000</v>
      </c>
      <c r="E962" s="3">
        <v>0</v>
      </c>
      <c r="F962" t="s">
        <v>19</v>
      </c>
      <c r="G962" t="s">
        <v>21</v>
      </c>
      <c r="H962" t="s">
        <v>18</v>
      </c>
      <c r="I962" s="3">
        <v>4</v>
      </c>
      <c r="J962" t="s">
        <v>26</v>
      </c>
      <c r="K962" t="s">
        <v>32</v>
      </c>
      <c r="L962" s="3">
        <v>45</v>
      </c>
      <c r="M962" s="3" t="str" cm="1">
        <f t="array" ref="M962">_xlfn.IFS(
L962&gt;=65,"Retirement Age",
AND(L962&lt;65,L962&gt;=40),"Middle Aged",
AND(L962&lt;40,L962&gt;=30),"In the 30s",
L962&lt;30,"Below 30")</f>
        <v>Middle Aged</v>
      </c>
      <c r="N962" t="s">
        <v>18</v>
      </c>
    </row>
    <row r="963" spans="1:14" x14ac:dyDescent="0.25">
      <c r="A963">
        <v>16651</v>
      </c>
      <c r="B963" t="s">
        <v>36</v>
      </c>
      <c r="C963" t="s">
        <v>39</v>
      </c>
      <c r="D963" s="1">
        <v>120000</v>
      </c>
      <c r="E963" s="3">
        <v>2</v>
      </c>
      <c r="F963" t="s">
        <v>13</v>
      </c>
      <c r="G963" t="s">
        <v>28</v>
      </c>
      <c r="H963" t="s">
        <v>15</v>
      </c>
      <c r="I963" s="3">
        <v>3</v>
      </c>
      <c r="J963" t="s">
        <v>23</v>
      </c>
      <c r="K963" t="s">
        <v>32</v>
      </c>
      <c r="L963" s="3">
        <v>62</v>
      </c>
      <c r="M963" s="3" t="str" cm="1">
        <f t="array" ref="M963">_xlfn.IFS(
L963&gt;=65,"Retirement Age",
AND(L963&lt;65,L963&gt;=40),"Middle Aged",
AND(L963&lt;40,L963&gt;=30),"In the 30s",
L963&lt;30,"Below 30")</f>
        <v>Middle Aged</v>
      </c>
      <c r="N963" t="s">
        <v>18</v>
      </c>
    </row>
    <row r="964" spans="1:14" x14ac:dyDescent="0.25">
      <c r="A964">
        <v>16813</v>
      </c>
      <c r="B964" t="s">
        <v>36</v>
      </c>
      <c r="C964" t="s">
        <v>38</v>
      </c>
      <c r="D964" s="1">
        <v>60000</v>
      </c>
      <c r="E964" s="3">
        <v>2</v>
      </c>
      <c r="F964" t="s">
        <v>19</v>
      </c>
      <c r="G964" t="s">
        <v>21</v>
      </c>
      <c r="H964" t="s">
        <v>15</v>
      </c>
      <c r="I964" s="3">
        <v>2</v>
      </c>
      <c r="J964" t="s">
        <v>45</v>
      </c>
      <c r="K964" t="s">
        <v>32</v>
      </c>
      <c r="L964" s="3">
        <v>55</v>
      </c>
      <c r="M964" s="3" t="str" cm="1">
        <f t="array" ref="M964">_xlfn.IFS(
L964&gt;=65,"Retirement Age",
AND(L964&lt;65,L964&gt;=40),"Middle Aged",
AND(L964&lt;40,L964&gt;=30),"In the 30s",
L964&lt;30,"Below 30")</f>
        <v>Middle Aged</v>
      </c>
      <c r="N964" t="s">
        <v>18</v>
      </c>
    </row>
    <row r="965" spans="1:14" x14ac:dyDescent="0.25">
      <c r="A965">
        <v>16007</v>
      </c>
      <c r="B965" t="s">
        <v>36</v>
      </c>
      <c r="C965" t="s">
        <v>39</v>
      </c>
      <c r="D965" s="1">
        <v>90000</v>
      </c>
      <c r="E965" s="3">
        <v>5</v>
      </c>
      <c r="F965" t="s">
        <v>13</v>
      </c>
      <c r="G965" t="s">
        <v>28</v>
      </c>
      <c r="H965" t="s">
        <v>15</v>
      </c>
      <c r="I965" s="3">
        <v>2</v>
      </c>
      <c r="J965" t="s">
        <v>26</v>
      </c>
      <c r="K965" t="s">
        <v>32</v>
      </c>
      <c r="L965" s="3">
        <v>66</v>
      </c>
      <c r="M965" s="3" t="str" cm="1">
        <f t="array" ref="M965">_xlfn.IFS(
L965&gt;=65,"Retirement Age",
AND(L965&lt;65,L965&gt;=40),"Middle Aged",
AND(L965&lt;40,L965&gt;=30),"In the 30s",
L965&lt;30,"Below 30")</f>
        <v>Retirement Age</v>
      </c>
      <c r="N965" t="s">
        <v>15</v>
      </c>
    </row>
    <row r="966" spans="1:14" x14ac:dyDescent="0.25">
      <c r="A966">
        <v>27434</v>
      </c>
      <c r="B966" t="s">
        <v>37</v>
      </c>
      <c r="C966" t="s">
        <v>38</v>
      </c>
      <c r="D966" s="1">
        <v>70000</v>
      </c>
      <c r="E966" s="3">
        <v>4</v>
      </c>
      <c r="F966" t="s">
        <v>19</v>
      </c>
      <c r="G966" t="s">
        <v>21</v>
      </c>
      <c r="H966" t="s">
        <v>15</v>
      </c>
      <c r="I966" s="3">
        <v>1</v>
      </c>
      <c r="J966" t="s">
        <v>45</v>
      </c>
      <c r="K966" t="s">
        <v>32</v>
      </c>
      <c r="L966" s="3">
        <v>56</v>
      </c>
      <c r="M966" s="3" t="str" cm="1">
        <f t="array" ref="M966">_xlfn.IFS(
L966&gt;=65,"Retirement Age",
AND(L966&lt;65,L966&gt;=40),"Middle Aged",
AND(L966&lt;40,L966&gt;=30),"In the 30s",
L966&lt;30,"Below 30")</f>
        <v>Middle Aged</v>
      </c>
      <c r="N966" t="s">
        <v>18</v>
      </c>
    </row>
    <row r="967" spans="1:14" x14ac:dyDescent="0.25">
      <c r="A967">
        <v>27756</v>
      </c>
      <c r="B967" t="s">
        <v>37</v>
      </c>
      <c r="C967" t="s">
        <v>39</v>
      </c>
      <c r="D967" s="1">
        <v>50000</v>
      </c>
      <c r="E967" s="3">
        <v>3</v>
      </c>
      <c r="F967" t="s">
        <v>13</v>
      </c>
      <c r="G967" t="s">
        <v>14</v>
      </c>
      <c r="H967" t="s">
        <v>18</v>
      </c>
      <c r="I967" s="3">
        <v>1</v>
      </c>
      <c r="J967" t="s">
        <v>16</v>
      </c>
      <c r="K967" t="s">
        <v>32</v>
      </c>
      <c r="L967" s="3">
        <v>40</v>
      </c>
      <c r="M967" s="3" t="str" cm="1">
        <f t="array" ref="M967">_xlfn.IFS(
L967&gt;=65,"Retirement Age",
AND(L967&lt;65,L967&gt;=40),"Middle Aged",
AND(L967&lt;40,L967&gt;=30),"In the 30s",
L967&lt;30,"Below 30")</f>
        <v>Middle Aged</v>
      </c>
      <c r="N967" t="s">
        <v>18</v>
      </c>
    </row>
    <row r="968" spans="1:14" x14ac:dyDescent="0.25">
      <c r="A968">
        <v>23818</v>
      </c>
      <c r="B968" t="s">
        <v>36</v>
      </c>
      <c r="C968" t="s">
        <v>39</v>
      </c>
      <c r="D968" s="1">
        <v>50000</v>
      </c>
      <c r="E968" s="3">
        <v>0</v>
      </c>
      <c r="F968" t="s">
        <v>31</v>
      </c>
      <c r="G968" t="s">
        <v>14</v>
      </c>
      <c r="H968" t="s">
        <v>15</v>
      </c>
      <c r="I968" s="3">
        <v>0</v>
      </c>
      <c r="J968" t="s">
        <v>26</v>
      </c>
      <c r="K968" t="s">
        <v>32</v>
      </c>
      <c r="L968" s="3">
        <v>33</v>
      </c>
      <c r="M968" s="3" t="str" cm="1">
        <f t="array" ref="M968">_xlfn.IFS(
L968&gt;=65,"Retirement Age",
AND(L968&lt;65,L968&gt;=40),"Middle Aged",
AND(L968&lt;40,L968&gt;=30),"In the 30s",
L968&lt;30,"Below 30")</f>
        <v>In the 30s</v>
      </c>
      <c r="N968" t="s">
        <v>15</v>
      </c>
    </row>
    <row r="969" spans="1:14" x14ac:dyDescent="0.25">
      <c r="A969">
        <v>19012</v>
      </c>
      <c r="B969" t="s">
        <v>36</v>
      </c>
      <c r="C969" t="s">
        <v>38</v>
      </c>
      <c r="D969" s="1">
        <v>80000</v>
      </c>
      <c r="E969" s="3">
        <v>3</v>
      </c>
      <c r="F969" t="s">
        <v>13</v>
      </c>
      <c r="G969" t="s">
        <v>28</v>
      </c>
      <c r="H969" t="s">
        <v>15</v>
      </c>
      <c r="I969" s="3">
        <v>1</v>
      </c>
      <c r="J969" t="s">
        <v>26</v>
      </c>
      <c r="K969" t="s">
        <v>32</v>
      </c>
      <c r="L969" s="3">
        <v>56</v>
      </c>
      <c r="M969" s="3" t="str" cm="1">
        <f t="array" ref="M969">_xlfn.IFS(
L969&gt;=65,"Retirement Age",
AND(L969&lt;65,L969&gt;=40),"Middle Aged",
AND(L969&lt;40,L969&gt;=30),"In the 30s",
L969&lt;30,"Below 30")</f>
        <v>Middle Aged</v>
      </c>
      <c r="N969" t="s">
        <v>18</v>
      </c>
    </row>
    <row r="970" spans="1:14" x14ac:dyDescent="0.25">
      <c r="A970">
        <v>18329</v>
      </c>
      <c r="B970" t="s">
        <v>37</v>
      </c>
      <c r="C970" t="s">
        <v>38</v>
      </c>
      <c r="D970" s="1">
        <v>30000</v>
      </c>
      <c r="E970" s="3">
        <v>0</v>
      </c>
      <c r="F970" t="s">
        <v>29</v>
      </c>
      <c r="G970" t="s">
        <v>20</v>
      </c>
      <c r="H970" t="s">
        <v>18</v>
      </c>
      <c r="I970" s="3">
        <v>2</v>
      </c>
      <c r="J970" t="s">
        <v>23</v>
      </c>
      <c r="K970" t="s">
        <v>32</v>
      </c>
      <c r="L970" s="3">
        <v>27</v>
      </c>
      <c r="M970" s="3" t="str" cm="1">
        <f t="array" ref="M970">_xlfn.IFS(
L970&gt;=65,"Retirement Age",
AND(L970&lt;65,L970&gt;=40),"Middle Aged",
AND(L970&lt;40,L970&gt;=30),"In the 30s",
L970&lt;30,"Below 30")</f>
        <v>Below 30</v>
      </c>
      <c r="N970" t="s">
        <v>18</v>
      </c>
    </row>
    <row r="971" spans="1:14" x14ac:dyDescent="0.25">
      <c r="A971">
        <v>29037</v>
      </c>
      <c r="B971" t="s">
        <v>36</v>
      </c>
      <c r="C971" t="s">
        <v>38</v>
      </c>
      <c r="D971" s="1">
        <v>60000</v>
      </c>
      <c r="E971" s="3">
        <v>0</v>
      </c>
      <c r="F971" t="s">
        <v>31</v>
      </c>
      <c r="G971" t="s">
        <v>21</v>
      </c>
      <c r="H971" t="s">
        <v>18</v>
      </c>
      <c r="I971" s="3">
        <v>0</v>
      </c>
      <c r="J971" t="s">
        <v>16</v>
      </c>
      <c r="K971" t="s">
        <v>32</v>
      </c>
      <c r="L971" s="3">
        <v>39</v>
      </c>
      <c r="M971" s="3" t="str" cm="1">
        <f t="array" ref="M971">_xlfn.IFS(
L971&gt;=65,"Retirement Age",
AND(L971&lt;65,L971&gt;=40),"Middle Aged",
AND(L971&lt;40,L971&gt;=30),"In the 30s",
L971&lt;30,"Below 30")</f>
        <v>In the 30s</v>
      </c>
      <c r="N971" t="s">
        <v>18</v>
      </c>
    </row>
    <row r="972" spans="1:14" x14ac:dyDescent="0.25">
      <c r="A972">
        <v>26576</v>
      </c>
      <c r="B972" t="s">
        <v>36</v>
      </c>
      <c r="C972" t="s">
        <v>39</v>
      </c>
      <c r="D972" s="1">
        <v>60000</v>
      </c>
      <c r="E972" s="3">
        <v>0</v>
      </c>
      <c r="F972" t="s">
        <v>19</v>
      </c>
      <c r="G972" t="s">
        <v>14</v>
      </c>
      <c r="H972" t="s">
        <v>15</v>
      </c>
      <c r="I972" s="3">
        <v>2</v>
      </c>
      <c r="J972" t="s">
        <v>23</v>
      </c>
      <c r="K972" t="s">
        <v>32</v>
      </c>
      <c r="L972" s="3">
        <v>31</v>
      </c>
      <c r="M972" s="3" t="str" cm="1">
        <f t="array" ref="M972">_xlfn.IFS(
L972&gt;=65,"Retirement Age",
AND(L972&lt;65,L972&gt;=40),"Middle Aged",
AND(L972&lt;40,L972&gt;=30),"In the 30s",
L972&lt;30,"Below 30")</f>
        <v>In the 30s</v>
      </c>
      <c r="N972" t="s">
        <v>18</v>
      </c>
    </row>
    <row r="973" spans="1:14" x14ac:dyDescent="0.25">
      <c r="A973">
        <v>12192</v>
      </c>
      <c r="B973" t="s">
        <v>37</v>
      </c>
      <c r="C973" t="s">
        <v>39</v>
      </c>
      <c r="D973" s="1">
        <v>60000</v>
      </c>
      <c r="E973" s="3">
        <v>2</v>
      </c>
      <c r="F973" t="s">
        <v>29</v>
      </c>
      <c r="G973" t="s">
        <v>14</v>
      </c>
      <c r="H973" t="s">
        <v>18</v>
      </c>
      <c r="I973" s="3">
        <v>2</v>
      </c>
      <c r="J973" t="s">
        <v>26</v>
      </c>
      <c r="K973" t="s">
        <v>32</v>
      </c>
      <c r="L973" s="3">
        <v>51</v>
      </c>
      <c r="M973" s="3" t="str" cm="1">
        <f t="array" ref="M973">_xlfn.IFS(
L973&gt;=65,"Retirement Age",
AND(L973&lt;65,L973&gt;=40),"Middle Aged",
AND(L973&lt;40,L973&gt;=30),"In the 30s",
L973&lt;30,"Below 30")</f>
        <v>Middle Aged</v>
      </c>
      <c r="N973" t="s">
        <v>18</v>
      </c>
    </row>
    <row r="974" spans="1:14" x14ac:dyDescent="0.25">
      <c r="A974">
        <v>14887</v>
      </c>
      <c r="B974" t="s">
        <v>36</v>
      </c>
      <c r="C974" t="s">
        <v>39</v>
      </c>
      <c r="D974" s="1">
        <v>30000</v>
      </c>
      <c r="E974" s="3">
        <v>1</v>
      </c>
      <c r="F974" t="s">
        <v>27</v>
      </c>
      <c r="G974" t="s">
        <v>20</v>
      </c>
      <c r="H974" t="s">
        <v>15</v>
      </c>
      <c r="I974" s="3">
        <v>1</v>
      </c>
      <c r="J974" t="s">
        <v>23</v>
      </c>
      <c r="K974" t="s">
        <v>32</v>
      </c>
      <c r="L974" s="3">
        <v>52</v>
      </c>
      <c r="M974" s="3" t="str" cm="1">
        <f t="array" ref="M974">_xlfn.IFS(
L974&gt;=65,"Retirement Age",
AND(L974&lt;65,L974&gt;=40),"Middle Aged",
AND(L974&lt;40,L974&gt;=30),"In the 30s",
L974&lt;30,"Below 30")</f>
        <v>Middle Aged</v>
      </c>
      <c r="N974" t="s">
        <v>18</v>
      </c>
    </row>
    <row r="975" spans="1:14" x14ac:dyDescent="0.25">
      <c r="A975">
        <v>11734</v>
      </c>
      <c r="B975" t="s">
        <v>36</v>
      </c>
      <c r="C975" t="s">
        <v>38</v>
      </c>
      <c r="D975" s="1">
        <v>60000</v>
      </c>
      <c r="E975" s="3">
        <v>1</v>
      </c>
      <c r="F975" t="s">
        <v>19</v>
      </c>
      <c r="G975" t="s">
        <v>14</v>
      </c>
      <c r="H975" t="s">
        <v>18</v>
      </c>
      <c r="I975" s="3">
        <v>1</v>
      </c>
      <c r="J975" t="s">
        <v>16</v>
      </c>
      <c r="K975" t="s">
        <v>32</v>
      </c>
      <c r="L975" s="3">
        <v>47</v>
      </c>
      <c r="M975" s="3" t="str" cm="1">
        <f t="array" ref="M975">_xlfn.IFS(
L975&gt;=65,"Retirement Age",
AND(L975&lt;65,L975&gt;=40),"Middle Aged",
AND(L975&lt;40,L975&gt;=30),"In the 30s",
L975&lt;30,"Below 30")</f>
        <v>Middle Aged</v>
      </c>
      <c r="N975" t="s">
        <v>18</v>
      </c>
    </row>
    <row r="976" spans="1:14" x14ac:dyDescent="0.25">
      <c r="A976">
        <v>17462</v>
      </c>
      <c r="B976" t="s">
        <v>36</v>
      </c>
      <c r="C976" t="s">
        <v>38</v>
      </c>
      <c r="D976" s="1">
        <v>70000</v>
      </c>
      <c r="E976" s="3">
        <v>3</v>
      </c>
      <c r="F976" t="s">
        <v>31</v>
      </c>
      <c r="G976" t="s">
        <v>28</v>
      </c>
      <c r="H976" t="s">
        <v>15</v>
      </c>
      <c r="I976" s="3">
        <v>2</v>
      </c>
      <c r="J976" t="s">
        <v>23</v>
      </c>
      <c r="K976" t="s">
        <v>32</v>
      </c>
      <c r="L976" s="3">
        <v>53</v>
      </c>
      <c r="M976" s="3" t="str" cm="1">
        <f t="array" ref="M976">_xlfn.IFS(
L976&gt;=65,"Retirement Age",
AND(L976&lt;65,L976&gt;=40),"Middle Aged",
AND(L976&lt;40,L976&gt;=30),"In the 30s",
L976&lt;30,"Below 30")</f>
        <v>Middle Aged</v>
      </c>
      <c r="N976" t="s">
        <v>15</v>
      </c>
    </row>
    <row r="977" spans="1:14" x14ac:dyDescent="0.25">
      <c r="A977">
        <v>20659</v>
      </c>
      <c r="B977" t="s">
        <v>36</v>
      </c>
      <c r="C977" t="s">
        <v>38</v>
      </c>
      <c r="D977" s="1">
        <v>70000</v>
      </c>
      <c r="E977" s="3">
        <v>3</v>
      </c>
      <c r="F977" t="s">
        <v>31</v>
      </c>
      <c r="G977" t="s">
        <v>21</v>
      </c>
      <c r="H977" t="s">
        <v>15</v>
      </c>
      <c r="I977" s="3">
        <v>0</v>
      </c>
      <c r="J977" t="s">
        <v>16</v>
      </c>
      <c r="K977" t="s">
        <v>32</v>
      </c>
      <c r="L977" s="3">
        <v>35</v>
      </c>
      <c r="M977" s="3" t="str" cm="1">
        <f t="array" ref="M977">_xlfn.IFS(
L977&gt;=65,"Retirement Age",
AND(L977&lt;65,L977&gt;=40),"Middle Aged",
AND(L977&lt;40,L977&gt;=30),"In the 30s",
L977&lt;30,"Below 30")</f>
        <v>In the 30s</v>
      </c>
      <c r="N977" t="s">
        <v>15</v>
      </c>
    </row>
    <row r="978" spans="1:14" x14ac:dyDescent="0.25">
      <c r="A978">
        <v>28004</v>
      </c>
      <c r="B978" t="s">
        <v>36</v>
      </c>
      <c r="C978" t="s">
        <v>39</v>
      </c>
      <c r="D978" s="1">
        <v>60000</v>
      </c>
      <c r="E978" s="3">
        <v>3</v>
      </c>
      <c r="F978" t="s">
        <v>13</v>
      </c>
      <c r="G978" t="s">
        <v>28</v>
      </c>
      <c r="H978" t="s">
        <v>15</v>
      </c>
      <c r="I978" s="3">
        <v>2</v>
      </c>
      <c r="J978" t="s">
        <v>45</v>
      </c>
      <c r="K978" t="s">
        <v>32</v>
      </c>
      <c r="L978" s="3">
        <v>66</v>
      </c>
      <c r="M978" s="3" t="str" cm="1">
        <f t="array" ref="M978">_xlfn.IFS(
L978&gt;=65,"Retirement Age",
AND(L978&lt;65,L978&gt;=40),"Middle Aged",
AND(L978&lt;40,L978&gt;=30),"In the 30s",
L978&lt;30,"Below 30")</f>
        <v>Retirement Age</v>
      </c>
      <c r="N978" t="s">
        <v>18</v>
      </c>
    </row>
    <row r="979" spans="1:14" x14ac:dyDescent="0.25">
      <c r="A979">
        <v>19741</v>
      </c>
      <c r="B979" t="s">
        <v>37</v>
      </c>
      <c r="C979" t="s">
        <v>39</v>
      </c>
      <c r="D979" s="1">
        <v>80000</v>
      </c>
      <c r="E979" s="3">
        <v>4</v>
      </c>
      <c r="F979" t="s">
        <v>31</v>
      </c>
      <c r="G979" t="s">
        <v>28</v>
      </c>
      <c r="H979" t="s">
        <v>15</v>
      </c>
      <c r="I979" s="3">
        <v>2</v>
      </c>
      <c r="J979" t="s">
        <v>23</v>
      </c>
      <c r="K979" t="s">
        <v>32</v>
      </c>
      <c r="L979" s="3">
        <v>65</v>
      </c>
      <c r="M979" s="3" t="str" cm="1">
        <f t="array" ref="M979">_xlfn.IFS(
L979&gt;=65,"Retirement Age",
AND(L979&lt;65,L979&gt;=40),"Middle Aged",
AND(L979&lt;40,L979&gt;=30),"In the 30s",
L979&lt;30,"Below 30")</f>
        <v>Retirement Age</v>
      </c>
      <c r="N979" t="s">
        <v>18</v>
      </c>
    </row>
    <row r="980" spans="1:14" x14ac:dyDescent="0.25">
      <c r="A980">
        <v>17450</v>
      </c>
      <c r="B980" t="s">
        <v>36</v>
      </c>
      <c r="C980" t="s">
        <v>38</v>
      </c>
      <c r="D980" s="1">
        <v>80000</v>
      </c>
      <c r="E980" s="3">
        <v>5</v>
      </c>
      <c r="F980" t="s">
        <v>19</v>
      </c>
      <c r="G980" t="s">
        <v>21</v>
      </c>
      <c r="H980" t="s">
        <v>15</v>
      </c>
      <c r="I980" s="3">
        <v>3</v>
      </c>
      <c r="J980" t="s">
        <v>23</v>
      </c>
      <c r="K980" t="s">
        <v>32</v>
      </c>
      <c r="L980" s="3">
        <v>45</v>
      </c>
      <c r="M980" s="3" t="str" cm="1">
        <f t="array" ref="M980">_xlfn.IFS(
L980&gt;=65,"Retirement Age",
AND(L980&lt;65,L980&gt;=40),"Middle Aged",
AND(L980&lt;40,L980&gt;=30),"In the 30s",
L980&lt;30,"Below 30")</f>
        <v>Middle Aged</v>
      </c>
      <c r="N980" t="s">
        <v>18</v>
      </c>
    </row>
    <row r="981" spans="1:14" x14ac:dyDescent="0.25">
      <c r="A981">
        <v>17337</v>
      </c>
      <c r="B981" t="s">
        <v>37</v>
      </c>
      <c r="C981" t="s">
        <v>38</v>
      </c>
      <c r="D981" s="1">
        <v>40000</v>
      </c>
      <c r="E981" s="3">
        <v>0</v>
      </c>
      <c r="F981" t="s">
        <v>27</v>
      </c>
      <c r="G981" t="s">
        <v>14</v>
      </c>
      <c r="H981" t="s">
        <v>15</v>
      </c>
      <c r="I981" s="3">
        <v>1</v>
      </c>
      <c r="J981" t="s">
        <v>23</v>
      </c>
      <c r="K981" t="s">
        <v>32</v>
      </c>
      <c r="L981" s="3">
        <v>31</v>
      </c>
      <c r="M981" s="3" t="str" cm="1">
        <f t="array" ref="M981">_xlfn.IFS(
L981&gt;=65,"Retirement Age",
AND(L981&lt;65,L981&gt;=40),"Middle Aged",
AND(L981&lt;40,L981&gt;=30),"In the 30s",
L981&lt;30,"Below 30")</f>
        <v>In the 30s</v>
      </c>
      <c r="N981" t="s">
        <v>18</v>
      </c>
    </row>
    <row r="982" spans="1:14" x14ac:dyDescent="0.25">
      <c r="A982">
        <v>18594</v>
      </c>
      <c r="B982" t="s">
        <v>37</v>
      </c>
      <c r="C982" t="s">
        <v>39</v>
      </c>
      <c r="D982" s="1">
        <v>80000</v>
      </c>
      <c r="E982" s="3">
        <v>3</v>
      </c>
      <c r="F982" t="s">
        <v>13</v>
      </c>
      <c r="G982" t="s">
        <v>14</v>
      </c>
      <c r="H982" t="s">
        <v>15</v>
      </c>
      <c r="I982" s="3">
        <v>3</v>
      </c>
      <c r="J982" t="s">
        <v>45</v>
      </c>
      <c r="K982" t="s">
        <v>32</v>
      </c>
      <c r="L982" s="3">
        <v>40</v>
      </c>
      <c r="M982" s="3" t="str" cm="1">
        <f t="array" ref="M982">_xlfn.IFS(
L982&gt;=65,"Retirement Age",
AND(L982&lt;65,L982&gt;=40),"Middle Aged",
AND(L982&lt;40,L982&gt;=30),"In the 30s",
L982&lt;30,"Below 30")</f>
        <v>Middle Aged</v>
      </c>
      <c r="N982" t="s">
        <v>15</v>
      </c>
    </row>
    <row r="983" spans="1:14" x14ac:dyDescent="0.25">
      <c r="A983">
        <v>15982</v>
      </c>
      <c r="B983" t="s">
        <v>36</v>
      </c>
      <c r="C983" t="s">
        <v>38</v>
      </c>
      <c r="D983" s="1">
        <v>110000</v>
      </c>
      <c r="E983" s="3">
        <v>5</v>
      </c>
      <c r="F983" t="s">
        <v>19</v>
      </c>
      <c r="G983" t="s">
        <v>21</v>
      </c>
      <c r="H983" t="s">
        <v>15</v>
      </c>
      <c r="I983" s="3">
        <v>4</v>
      </c>
      <c r="J983" t="s">
        <v>22</v>
      </c>
      <c r="K983" t="s">
        <v>32</v>
      </c>
      <c r="L983" s="3">
        <v>46</v>
      </c>
      <c r="M983" s="3" t="str" cm="1">
        <f t="array" ref="M983">_xlfn.IFS(
L983&gt;=65,"Retirement Age",
AND(L983&lt;65,L983&gt;=40),"Middle Aged",
AND(L983&lt;40,L983&gt;=30),"In the 30s",
L983&lt;30,"Below 30")</f>
        <v>Middle Aged</v>
      </c>
      <c r="N983" t="s">
        <v>18</v>
      </c>
    </row>
    <row r="984" spans="1:14" x14ac:dyDescent="0.25">
      <c r="A984">
        <v>28625</v>
      </c>
      <c r="B984" t="s">
        <v>37</v>
      </c>
      <c r="C984" t="s">
        <v>38</v>
      </c>
      <c r="D984" s="1">
        <v>40000</v>
      </c>
      <c r="E984" s="3">
        <v>2</v>
      </c>
      <c r="F984" t="s">
        <v>19</v>
      </c>
      <c r="G984" t="s">
        <v>20</v>
      </c>
      <c r="H984" t="s">
        <v>18</v>
      </c>
      <c r="I984" s="3">
        <v>1</v>
      </c>
      <c r="J984" t="s">
        <v>26</v>
      </c>
      <c r="K984" t="s">
        <v>32</v>
      </c>
      <c r="L984" s="3">
        <v>47</v>
      </c>
      <c r="M984" s="3" t="str" cm="1">
        <f t="array" ref="M984">_xlfn.IFS(
L984&gt;=65,"Retirement Age",
AND(L984&lt;65,L984&gt;=40),"Middle Aged",
AND(L984&lt;40,L984&gt;=30),"In the 30s",
L984&lt;30,"Below 30")</f>
        <v>Middle Aged</v>
      </c>
      <c r="N984" t="s">
        <v>15</v>
      </c>
    </row>
    <row r="985" spans="1:14" x14ac:dyDescent="0.25">
      <c r="A985">
        <v>11269</v>
      </c>
      <c r="B985" t="s">
        <v>36</v>
      </c>
      <c r="C985" t="s">
        <v>38</v>
      </c>
      <c r="D985" s="1">
        <v>130000</v>
      </c>
      <c r="E985" s="3">
        <v>2</v>
      </c>
      <c r="F985" t="s">
        <v>31</v>
      </c>
      <c r="G985" t="s">
        <v>28</v>
      </c>
      <c r="H985" t="s">
        <v>15</v>
      </c>
      <c r="I985" s="3">
        <v>2</v>
      </c>
      <c r="J985" t="s">
        <v>16</v>
      </c>
      <c r="K985" t="s">
        <v>32</v>
      </c>
      <c r="L985" s="3">
        <v>41</v>
      </c>
      <c r="M985" s="3" t="str" cm="1">
        <f t="array" ref="M985">_xlfn.IFS(
L985&gt;=65,"Retirement Age",
AND(L985&lt;65,L985&gt;=40),"Middle Aged",
AND(L985&lt;40,L985&gt;=30),"In the 30s",
L985&lt;30,"Below 30")</f>
        <v>Middle Aged</v>
      </c>
      <c r="N985" t="s">
        <v>18</v>
      </c>
    </row>
    <row r="986" spans="1:14" x14ac:dyDescent="0.25">
      <c r="A986">
        <v>25148</v>
      </c>
      <c r="B986" t="s">
        <v>36</v>
      </c>
      <c r="C986" t="s">
        <v>38</v>
      </c>
      <c r="D986" s="1">
        <v>60000</v>
      </c>
      <c r="E986" s="3">
        <v>2</v>
      </c>
      <c r="F986" t="s">
        <v>27</v>
      </c>
      <c r="G986" t="s">
        <v>21</v>
      </c>
      <c r="H986" t="s">
        <v>18</v>
      </c>
      <c r="I986" s="3">
        <v>2</v>
      </c>
      <c r="J986" t="s">
        <v>26</v>
      </c>
      <c r="K986" t="s">
        <v>32</v>
      </c>
      <c r="L986" s="3">
        <v>48</v>
      </c>
      <c r="M986" s="3" t="str" cm="1">
        <f t="array" ref="M986">_xlfn.IFS(
L986&gt;=65,"Retirement Age",
AND(L986&lt;65,L986&gt;=40),"Middle Aged",
AND(L986&lt;40,L986&gt;=30),"In the 30s",
L986&lt;30,"Below 30")</f>
        <v>Middle Aged</v>
      </c>
      <c r="N986" t="s">
        <v>15</v>
      </c>
    </row>
    <row r="987" spans="1:14" x14ac:dyDescent="0.25">
      <c r="A987">
        <v>13920</v>
      </c>
      <c r="B987" t="s">
        <v>37</v>
      </c>
      <c r="C987" t="s">
        <v>39</v>
      </c>
      <c r="D987" s="1">
        <v>50000</v>
      </c>
      <c r="E987" s="3">
        <v>4</v>
      </c>
      <c r="F987" t="s">
        <v>13</v>
      </c>
      <c r="G987" t="s">
        <v>14</v>
      </c>
      <c r="H987" t="s">
        <v>15</v>
      </c>
      <c r="I987" s="3">
        <v>2</v>
      </c>
      <c r="J987" t="s">
        <v>16</v>
      </c>
      <c r="K987" t="s">
        <v>32</v>
      </c>
      <c r="L987" s="3">
        <v>42</v>
      </c>
      <c r="M987" s="3" t="str" cm="1">
        <f t="array" ref="M987">_xlfn.IFS(
L987&gt;=65,"Retirement Age",
AND(L987&lt;65,L987&gt;=40),"Middle Aged",
AND(L987&lt;40,L987&gt;=30),"In the 30s",
L987&lt;30,"Below 30")</f>
        <v>Middle Aged</v>
      </c>
      <c r="N987" t="s">
        <v>18</v>
      </c>
    </row>
    <row r="988" spans="1:14" x14ac:dyDescent="0.25">
      <c r="A988">
        <v>23704</v>
      </c>
      <c r="B988" t="s">
        <v>37</v>
      </c>
      <c r="C988" t="s">
        <v>38</v>
      </c>
      <c r="D988" s="1">
        <v>40000</v>
      </c>
      <c r="E988" s="3">
        <v>5</v>
      </c>
      <c r="F988" t="s">
        <v>27</v>
      </c>
      <c r="G988" t="s">
        <v>21</v>
      </c>
      <c r="H988" t="s">
        <v>15</v>
      </c>
      <c r="I988" s="3">
        <v>4</v>
      </c>
      <c r="J988" t="s">
        <v>45</v>
      </c>
      <c r="K988" t="s">
        <v>32</v>
      </c>
      <c r="L988" s="3">
        <v>60</v>
      </c>
      <c r="M988" s="3" t="str" cm="1">
        <f t="array" ref="M988">_xlfn.IFS(
L988&gt;=65,"Retirement Age",
AND(L988&lt;65,L988&gt;=40),"Middle Aged",
AND(L988&lt;40,L988&gt;=30),"In the 30s",
L988&lt;30,"Below 30")</f>
        <v>Middle Aged</v>
      </c>
      <c r="N988" t="s">
        <v>15</v>
      </c>
    </row>
    <row r="989" spans="1:14" x14ac:dyDescent="0.25">
      <c r="A989">
        <v>28972</v>
      </c>
      <c r="B989" t="s">
        <v>37</v>
      </c>
      <c r="C989" t="s">
        <v>39</v>
      </c>
      <c r="D989" s="1">
        <v>60000</v>
      </c>
      <c r="E989" s="3">
        <v>3</v>
      </c>
      <c r="F989" t="s">
        <v>31</v>
      </c>
      <c r="G989" t="s">
        <v>28</v>
      </c>
      <c r="H989" t="s">
        <v>15</v>
      </c>
      <c r="I989" s="3">
        <v>2</v>
      </c>
      <c r="J989" t="s">
        <v>45</v>
      </c>
      <c r="K989" t="s">
        <v>32</v>
      </c>
      <c r="L989" s="3">
        <v>66</v>
      </c>
      <c r="M989" s="3" t="str" cm="1">
        <f t="array" ref="M989">_xlfn.IFS(
L989&gt;=65,"Retirement Age",
AND(L989&lt;65,L989&gt;=40),"Middle Aged",
AND(L989&lt;40,L989&gt;=30),"In the 30s",
L989&lt;30,"Below 30")</f>
        <v>Retirement Age</v>
      </c>
      <c r="N989" t="s">
        <v>18</v>
      </c>
    </row>
    <row r="990" spans="1:14" x14ac:dyDescent="0.25">
      <c r="A990">
        <v>22730</v>
      </c>
      <c r="B990" t="s">
        <v>36</v>
      </c>
      <c r="C990" t="s">
        <v>38</v>
      </c>
      <c r="D990" s="1">
        <v>70000</v>
      </c>
      <c r="E990" s="3">
        <v>5</v>
      </c>
      <c r="F990" t="s">
        <v>13</v>
      </c>
      <c r="G990" t="s">
        <v>28</v>
      </c>
      <c r="H990" t="s">
        <v>15</v>
      </c>
      <c r="I990" s="3">
        <v>2</v>
      </c>
      <c r="J990" t="s">
        <v>45</v>
      </c>
      <c r="K990" t="s">
        <v>32</v>
      </c>
      <c r="L990" s="3">
        <v>63</v>
      </c>
      <c r="M990" s="3" t="str" cm="1">
        <f t="array" ref="M990">_xlfn.IFS(
L990&gt;=65,"Retirement Age",
AND(L990&lt;65,L990&gt;=40),"Middle Aged",
AND(L990&lt;40,L990&gt;=30),"In the 30s",
L990&lt;30,"Below 30")</f>
        <v>Middle Aged</v>
      </c>
      <c r="N990" t="s">
        <v>18</v>
      </c>
    </row>
    <row r="991" spans="1:14" x14ac:dyDescent="0.25">
      <c r="A991">
        <v>29134</v>
      </c>
      <c r="B991" t="s">
        <v>36</v>
      </c>
      <c r="C991" t="s">
        <v>38</v>
      </c>
      <c r="D991" s="1">
        <v>60000</v>
      </c>
      <c r="E991" s="3">
        <v>4</v>
      </c>
      <c r="F991" t="s">
        <v>13</v>
      </c>
      <c r="G991" t="s">
        <v>14</v>
      </c>
      <c r="H991" t="s">
        <v>18</v>
      </c>
      <c r="I991" s="3">
        <v>3</v>
      </c>
      <c r="J991" t="s">
        <v>45</v>
      </c>
      <c r="K991" t="s">
        <v>32</v>
      </c>
      <c r="L991" s="3">
        <v>42</v>
      </c>
      <c r="M991" s="3" t="str" cm="1">
        <f t="array" ref="M991">_xlfn.IFS(
L991&gt;=65,"Retirement Age",
AND(L991&lt;65,L991&gt;=40),"Middle Aged",
AND(L991&lt;40,L991&gt;=30),"In the 30s",
L991&lt;30,"Below 30")</f>
        <v>Middle Aged</v>
      </c>
      <c r="N991" t="s">
        <v>18</v>
      </c>
    </row>
    <row r="992" spans="1:14" x14ac:dyDescent="0.25">
      <c r="A992">
        <v>14332</v>
      </c>
      <c r="B992" t="s">
        <v>37</v>
      </c>
      <c r="C992" t="s">
        <v>39</v>
      </c>
      <c r="D992" s="1">
        <v>30000</v>
      </c>
      <c r="E992" s="3">
        <v>0</v>
      </c>
      <c r="F992" t="s">
        <v>27</v>
      </c>
      <c r="G992" t="s">
        <v>14</v>
      </c>
      <c r="H992" t="s">
        <v>18</v>
      </c>
      <c r="I992" s="3">
        <v>2</v>
      </c>
      <c r="J992" t="s">
        <v>23</v>
      </c>
      <c r="K992" t="s">
        <v>32</v>
      </c>
      <c r="L992" s="3">
        <v>26</v>
      </c>
      <c r="M992" s="3" t="str" cm="1">
        <f t="array" ref="M992">_xlfn.IFS(
L992&gt;=65,"Retirement Age",
AND(L992&lt;65,L992&gt;=40),"Middle Aged",
AND(L992&lt;40,L992&gt;=30),"In the 30s",
L992&lt;30,"Below 30")</f>
        <v>Below 30</v>
      </c>
      <c r="N992" t="s">
        <v>18</v>
      </c>
    </row>
    <row r="993" spans="1:14" x14ac:dyDescent="0.25">
      <c r="A993">
        <v>19117</v>
      </c>
      <c r="B993" t="s">
        <v>37</v>
      </c>
      <c r="C993" t="s">
        <v>39</v>
      </c>
      <c r="D993" s="1">
        <v>60000</v>
      </c>
      <c r="E993" s="3">
        <v>1</v>
      </c>
      <c r="F993" t="s">
        <v>31</v>
      </c>
      <c r="G993" t="s">
        <v>21</v>
      </c>
      <c r="H993" t="s">
        <v>15</v>
      </c>
      <c r="I993" s="3">
        <v>0</v>
      </c>
      <c r="J993" t="s">
        <v>22</v>
      </c>
      <c r="K993" t="s">
        <v>32</v>
      </c>
      <c r="L993" s="3">
        <v>36</v>
      </c>
      <c r="M993" s="3" t="str" cm="1">
        <f t="array" ref="M993">_xlfn.IFS(
L993&gt;=65,"Retirement Age",
AND(L993&lt;65,L993&gt;=40),"Middle Aged",
AND(L993&lt;40,L993&gt;=30),"In the 30s",
L993&lt;30,"Below 30")</f>
        <v>In the 30s</v>
      </c>
      <c r="N993" t="s">
        <v>15</v>
      </c>
    </row>
    <row r="994" spans="1:14" x14ac:dyDescent="0.25">
      <c r="A994">
        <v>22864</v>
      </c>
      <c r="B994" t="s">
        <v>36</v>
      </c>
      <c r="C994" t="s">
        <v>38</v>
      </c>
      <c r="D994" s="1">
        <v>90000</v>
      </c>
      <c r="E994" s="3">
        <v>2</v>
      </c>
      <c r="F994" t="s">
        <v>19</v>
      </c>
      <c r="G994" t="s">
        <v>21</v>
      </c>
      <c r="H994" t="s">
        <v>18</v>
      </c>
      <c r="I994" s="3">
        <v>0</v>
      </c>
      <c r="J994" t="s">
        <v>23</v>
      </c>
      <c r="K994" t="s">
        <v>32</v>
      </c>
      <c r="L994" s="3">
        <v>49</v>
      </c>
      <c r="M994" s="3" t="str" cm="1">
        <f t="array" ref="M994">_xlfn.IFS(
L994&gt;=65,"Retirement Age",
AND(L994&lt;65,L994&gt;=40),"Middle Aged",
AND(L994&lt;40,L994&gt;=30),"In the 30s",
L994&lt;30,"Below 30")</f>
        <v>Middle Aged</v>
      </c>
      <c r="N994" t="s">
        <v>15</v>
      </c>
    </row>
    <row r="995" spans="1:14" x14ac:dyDescent="0.25">
      <c r="A995">
        <v>11292</v>
      </c>
      <c r="B995" t="s">
        <v>37</v>
      </c>
      <c r="C995" t="s">
        <v>38</v>
      </c>
      <c r="D995" s="1">
        <v>150000</v>
      </c>
      <c r="E995" s="3">
        <v>1</v>
      </c>
      <c r="F995" t="s">
        <v>19</v>
      </c>
      <c r="G995" t="s">
        <v>21</v>
      </c>
      <c r="H995" t="s">
        <v>18</v>
      </c>
      <c r="I995" s="3">
        <v>3</v>
      </c>
      <c r="J995" t="s">
        <v>16</v>
      </c>
      <c r="K995" t="s">
        <v>32</v>
      </c>
      <c r="L995" s="3">
        <v>44</v>
      </c>
      <c r="M995" s="3" t="str" cm="1">
        <f t="array" ref="M995">_xlfn.IFS(
L995&gt;=65,"Retirement Age",
AND(L995&lt;65,L995&gt;=40),"Middle Aged",
AND(L995&lt;40,L995&gt;=30),"In the 30s",
L995&lt;30,"Below 30")</f>
        <v>Middle Aged</v>
      </c>
      <c r="N995" t="s">
        <v>15</v>
      </c>
    </row>
    <row r="996" spans="1:14" x14ac:dyDescent="0.25">
      <c r="A996">
        <v>13466</v>
      </c>
      <c r="B996" t="s">
        <v>36</v>
      </c>
      <c r="C996" t="s">
        <v>38</v>
      </c>
      <c r="D996" s="1">
        <v>80000</v>
      </c>
      <c r="E996" s="3">
        <v>5</v>
      </c>
      <c r="F996" t="s">
        <v>19</v>
      </c>
      <c r="G996" t="s">
        <v>21</v>
      </c>
      <c r="H996" t="s">
        <v>15</v>
      </c>
      <c r="I996" s="3">
        <v>3</v>
      </c>
      <c r="J996" t="s">
        <v>26</v>
      </c>
      <c r="K996" t="s">
        <v>32</v>
      </c>
      <c r="L996" s="3">
        <v>46</v>
      </c>
      <c r="M996" s="3" t="str" cm="1">
        <f t="array" ref="M996">_xlfn.IFS(
L996&gt;=65,"Retirement Age",
AND(L996&lt;65,L996&gt;=40),"Middle Aged",
AND(L996&lt;40,L996&gt;=30),"In the 30s",
L996&lt;30,"Below 30")</f>
        <v>Middle Aged</v>
      </c>
      <c r="N996" t="s">
        <v>18</v>
      </c>
    </row>
    <row r="997" spans="1:14" x14ac:dyDescent="0.25">
      <c r="A997">
        <v>23731</v>
      </c>
      <c r="B997" t="s">
        <v>36</v>
      </c>
      <c r="C997" t="s">
        <v>38</v>
      </c>
      <c r="D997" s="1">
        <v>60000</v>
      </c>
      <c r="E997" s="4">
        <v>2</v>
      </c>
      <c r="F997" t="s">
        <v>27</v>
      </c>
      <c r="G997" t="s">
        <v>21</v>
      </c>
      <c r="H997" t="s">
        <v>15</v>
      </c>
      <c r="I997" s="3">
        <v>2</v>
      </c>
      <c r="J997" t="s">
        <v>22</v>
      </c>
      <c r="K997" t="s">
        <v>32</v>
      </c>
      <c r="L997" s="3">
        <v>54</v>
      </c>
      <c r="M997" s="3" t="str" cm="1">
        <f t="array" ref="M997">_xlfn.IFS(
L997&gt;=65,"Retirement Age",
AND(L997&lt;65,L997&gt;=40),"Middle Aged",
AND(L997&lt;40,L997&gt;=30),"In the 30s",
L997&lt;30,"Below 30")</f>
        <v>Middle Aged</v>
      </c>
      <c r="N997" t="s">
        <v>15</v>
      </c>
    </row>
    <row r="998" spans="1:14" x14ac:dyDescent="0.25">
      <c r="A998">
        <v>28672</v>
      </c>
      <c r="B998" t="s">
        <v>37</v>
      </c>
      <c r="C998" t="s">
        <v>38</v>
      </c>
      <c r="D998" s="1">
        <v>70000</v>
      </c>
      <c r="E998" s="3">
        <v>4</v>
      </c>
      <c r="F998" t="s">
        <v>31</v>
      </c>
      <c r="G998" t="s">
        <v>21</v>
      </c>
      <c r="H998" t="s">
        <v>15</v>
      </c>
      <c r="I998" s="3">
        <v>0</v>
      </c>
      <c r="J998" t="s">
        <v>22</v>
      </c>
      <c r="K998" t="s">
        <v>32</v>
      </c>
      <c r="L998" s="3">
        <v>35</v>
      </c>
      <c r="M998" s="3" t="str" cm="1">
        <f t="array" ref="M998">_xlfn.IFS(
L998&gt;=65,"Retirement Age",
AND(L998&lt;65,L998&gt;=40),"Middle Aged",
AND(L998&lt;40,L998&gt;=30),"In the 30s",
L998&lt;30,"Below 30")</f>
        <v>In the 30s</v>
      </c>
      <c r="N998" t="s">
        <v>15</v>
      </c>
    </row>
    <row r="999" spans="1:14" x14ac:dyDescent="0.25">
      <c r="A999">
        <v>11809</v>
      </c>
      <c r="B999" t="s">
        <v>36</v>
      </c>
      <c r="C999" t="s">
        <v>38</v>
      </c>
      <c r="D999" s="1">
        <v>60000</v>
      </c>
      <c r="E999" s="3">
        <v>2</v>
      </c>
      <c r="F999" t="s">
        <v>13</v>
      </c>
      <c r="G999" t="s">
        <v>14</v>
      </c>
      <c r="H999" t="s">
        <v>15</v>
      </c>
      <c r="I999" s="3">
        <v>0</v>
      </c>
      <c r="J999" t="s">
        <v>16</v>
      </c>
      <c r="K999" t="s">
        <v>32</v>
      </c>
      <c r="L999" s="3">
        <v>38</v>
      </c>
      <c r="M999" s="3" t="str" cm="1">
        <f t="array" ref="M999">_xlfn.IFS(
L999&gt;=65,"Retirement Age",
AND(L999&lt;65,L999&gt;=40),"Middle Aged",
AND(L999&lt;40,L999&gt;=30),"In the 30s",
L999&lt;30,"Below 30")</f>
        <v>In the 30s</v>
      </c>
      <c r="N999" t="s">
        <v>15</v>
      </c>
    </row>
    <row r="1000" spans="1:14" x14ac:dyDescent="0.25">
      <c r="A1000">
        <v>19664</v>
      </c>
      <c r="B1000" t="s">
        <v>37</v>
      </c>
      <c r="C1000" t="s">
        <v>38</v>
      </c>
      <c r="D1000" s="1">
        <v>100000</v>
      </c>
      <c r="E1000" s="3">
        <v>3</v>
      </c>
      <c r="F1000" t="s">
        <v>13</v>
      </c>
      <c r="G1000" t="s">
        <v>28</v>
      </c>
      <c r="H1000" t="s">
        <v>18</v>
      </c>
      <c r="I1000" s="3">
        <v>3</v>
      </c>
      <c r="J1000" t="s">
        <v>26</v>
      </c>
      <c r="K1000" t="s">
        <v>32</v>
      </c>
      <c r="L1000" s="3">
        <v>38</v>
      </c>
      <c r="M1000" s="3" t="str" cm="1">
        <f t="array" ref="M1000">_xlfn.IFS(
L1000&gt;=65,"Retirement Age",
AND(L1000&lt;65,L1000&gt;=40),"Middle Aged",
AND(L1000&lt;40,L1000&gt;=30),"In the 30s",
L1000&lt;30,"Below 30")</f>
        <v>In the 30s</v>
      </c>
      <c r="N1000" t="s">
        <v>18</v>
      </c>
    </row>
    <row r="1001" spans="1:14" x14ac:dyDescent="0.25">
      <c r="A1001">
        <v>12121</v>
      </c>
      <c r="B1001" t="s">
        <v>37</v>
      </c>
      <c r="C1001" t="s">
        <v>38</v>
      </c>
      <c r="D1001" s="1">
        <v>60000</v>
      </c>
      <c r="E1001" s="3">
        <v>3</v>
      </c>
      <c r="F1001" t="s">
        <v>27</v>
      </c>
      <c r="G1001" t="s">
        <v>21</v>
      </c>
      <c r="H1001" t="s">
        <v>15</v>
      </c>
      <c r="I1001" s="3">
        <v>2</v>
      </c>
      <c r="J1001" t="s">
        <v>45</v>
      </c>
      <c r="K1001" t="s">
        <v>32</v>
      </c>
      <c r="L1001" s="3">
        <v>53</v>
      </c>
      <c r="M1001" s="3" t="str" cm="1">
        <f t="array" ref="M1001">_xlfn.IFS(
L1001&gt;=65,"Retirement Age",
AND(L1001&lt;65,L1001&gt;=40),"Middle Aged",
AND(L1001&lt;40,L1001&gt;=30),"In the 30s",
L1001&lt;30,"Below 30")</f>
        <v>Middle Aged</v>
      </c>
      <c r="N1001" t="s">
        <v>15</v>
      </c>
    </row>
    <row r="1003" spans="1:14" x14ac:dyDescent="0.25">
      <c r="D1003"/>
    </row>
    <row r="1004" spans="1:14" x14ac:dyDescent="0.25">
      <c r="D1004"/>
    </row>
    <row r="1005" spans="1:14" x14ac:dyDescent="0.25">
      <c r="D1005"/>
    </row>
    <row r="1006" spans="1:14" x14ac:dyDescent="0.25">
      <c r="D1006"/>
    </row>
    <row r="1007" spans="1:14" x14ac:dyDescent="0.25">
      <c r="D1007"/>
    </row>
    <row r="1008" spans="1:14" x14ac:dyDescent="0.25">
      <c r="D1008"/>
    </row>
    <row r="1009" spans="4:4" x14ac:dyDescent="0.25">
      <c r="D1009"/>
    </row>
    <row r="1010" spans="4:4" x14ac:dyDescent="0.25">
      <c r="D1010"/>
    </row>
    <row r="1011" spans="4:4" x14ac:dyDescent="0.25">
      <c r="D1011"/>
    </row>
    <row r="1012" spans="4:4" x14ac:dyDescent="0.25">
      <c r="D1012"/>
    </row>
    <row r="1013" spans="4:4" x14ac:dyDescent="0.25">
      <c r="D1013"/>
    </row>
    <row r="1014" spans="4:4" x14ac:dyDescent="0.25">
      <c r="D1014"/>
    </row>
    <row r="1015" spans="4:4" x14ac:dyDescent="0.25">
      <c r="D1015"/>
    </row>
    <row r="1016" spans="4:4" x14ac:dyDescent="0.25">
      <c r="D1016"/>
    </row>
    <row r="1017" spans="4:4" x14ac:dyDescent="0.25">
      <c r="D1017"/>
    </row>
    <row r="1018" spans="4:4" x14ac:dyDescent="0.25">
      <c r="D1018"/>
    </row>
    <row r="1019" spans="4:4" x14ac:dyDescent="0.25">
      <c r="D1019"/>
    </row>
    <row r="1020" spans="4:4" x14ac:dyDescent="0.25">
      <c r="D1020"/>
    </row>
    <row r="1021" spans="4:4" x14ac:dyDescent="0.25">
      <c r="D1021"/>
    </row>
    <row r="1022" spans="4:4" x14ac:dyDescent="0.25">
      <c r="D1022"/>
    </row>
    <row r="1023" spans="4:4" x14ac:dyDescent="0.25">
      <c r="D1023"/>
    </row>
    <row r="1024" spans="4:4" x14ac:dyDescent="0.25">
      <c r="D1024"/>
    </row>
    <row r="1025" spans="4:4" x14ac:dyDescent="0.25">
      <c r="D1025"/>
    </row>
    <row r="1026" spans="4:4" x14ac:dyDescent="0.25">
      <c r="D1026"/>
    </row>
    <row r="1027" spans="4:4" x14ac:dyDescent="0.25">
      <c r="D1027"/>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1027"/>
  <sheetViews>
    <sheetView workbookViewId="0">
      <selection activeCell="L1" sqref="L1"/>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autoFilter ref="A1:M1027" xr:uid="{00000000-0001-0000-0000-000000000000}"/>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6580CDB1-3128-4798-89A0-5F2375BEA3AE}">
  <ds:schemaRefs/>
</ds:datastoreItem>
</file>

<file path=customXml/itemProps2.xml><?xml version="1.0" encoding="utf-8"?>
<ds:datastoreItem xmlns:ds="http://schemas.openxmlformats.org/officeDocument/2006/customXml" ds:itemID="{BF653382-6740-4C81-92C7-FD6F318A17AE}">
  <ds:schemaRefs/>
</ds:datastoreItem>
</file>

<file path=customXml/itemProps3.xml><?xml version="1.0" encoding="utf-8"?>
<ds:datastoreItem xmlns:ds="http://schemas.openxmlformats.org/officeDocument/2006/customXml" ds:itemID="{FC9CB17F-E133-450D-8336-149DEF4F6FE0}">
  <ds:schemaRefs/>
</ds:datastoreItem>
</file>

<file path=customXml/itemProps4.xml><?xml version="1.0" encoding="utf-8"?>
<ds:datastoreItem xmlns:ds="http://schemas.openxmlformats.org/officeDocument/2006/customXml" ds:itemID="{CF8746A8-47B7-457C-AF50-66FB6B7D47A0}">
  <ds:schemaRefs/>
</ds:datastoreItem>
</file>

<file path=customXml/itemProps5.xml><?xml version="1.0" encoding="utf-8"?>
<ds:datastoreItem xmlns:ds="http://schemas.openxmlformats.org/officeDocument/2006/customXml" ds:itemID="{93F7F3AF-4597-450D-B72F-45A1ED7D8D11}">
  <ds:schemaRefs/>
</ds:datastoreItem>
</file>

<file path=customXml/itemProps6.xml><?xml version="1.0" encoding="utf-8"?>
<ds:datastoreItem xmlns:ds="http://schemas.openxmlformats.org/officeDocument/2006/customXml" ds:itemID="{657A228F-1C53-4484-BE83-03290A1EC0B6}">
  <ds:schemaRefs/>
</ds:datastoreItem>
</file>

<file path=customXml/itemProps7.xml><?xml version="1.0" encoding="utf-8"?>
<ds:datastoreItem xmlns:ds="http://schemas.openxmlformats.org/officeDocument/2006/customXml" ds:itemID="{E306D390-57F2-4C9D-BD90-CCE44ECADFD5}">
  <ds:schemaRefs/>
</ds:datastoreItem>
</file>

<file path=customXml/itemProps8.xml><?xml version="1.0" encoding="utf-8"?>
<ds:datastoreItem xmlns:ds="http://schemas.openxmlformats.org/officeDocument/2006/customXml" ds:itemID="{8E86B2C5-7277-4345-86FB-D826923563FB}">
  <ds:schemaRefs/>
</ds:datastoreItem>
</file>

<file path=customXml/itemProps9.xml><?xml version="1.0" encoding="utf-8"?>
<ds:datastoreItem xmlns:ds="http://schemas.openxmlformats.org/officeDocument/2006/customXml" ds:itemID="{4290536F-2555-4B2B-97C6-2D6ED84060D2}">
  <ds:schemaRefs/>
</ds:datastoreItem>
</file>

<file path=customXml/itemProps10.xml><?xml version="1.0" encoding="utf-8"?>
<ds:datastoreItem xmlns:ds="http://schemas.openxmlformats.org/officeDocument/2006/customXml" ds:itemID="{77372B97-5B78-4A80-87BC-F5D5212F1F53}">
  <ds:schemaRefs/>
</ds:datastoreItem>
</file>

<file path=customXml/itemProps11.xml><?xml version="1.0" encoding="utf-8"?>
<ds:datastoreItem xmlns:ds="http://schemas.openxmlformats.org/officeDocument/2006/customXml" ds:itemID="{104DAF4A-940D-471B-951B-A3646861D5B0}">
  <ds:schemaRefs/>
</ds:datastoreItem>
</file>

<file path=customXml/itemProps12.xml><?xml version="1.0" encoding="utf-8"?>
<ds:datastoreItem xmlns:ds="http://schemas.openxmlformats.org/officeDocument/2006/customXml" ds:itemID="{89727718-63D0-42C2-81B5-5F1A943685E2}">
  <ds:schemaRefs/>
</ds:datastoreItem>
</file>

<file path=customXml/itemProps13.xml><?xml version="1.0" encoding="utf-8"?>
<ds:datastoreItem xmlns:ds="http://schemas.openxmlformats.org/officeDocument/2006/customXml" ds:itemID="{05957DBD-9BD2-4A58-B02E-C35AF029D4F5}">
  <ds:schemaRefs/>
</ds:datastoreItem>
</file>

<file path=customXml/itemProps14.xml><?xml version="1.0" encoding="utf-8"?>
<ds:datastoreItem xmlns:ds="http://schemas.openxmlformats.org/officeDocument/2006/customXml" ds:itemID="{4D0DF545-5C67-427E-9BE3-1A1E6A273096}">
  <ds:schemaRefs/>
</ds:datastoreItem>
</file>

<file path=customXml/itemProps15.xml><?xml version="1.0" encoding="utf-8"?>
<ds:datastoreItem xmlns:ds="http://schemas.openxmlformats.org/officeDocument/2006/customXml" ds:itemID="{E43DE34B-EB15-417C-9620-325F8655BC29}">
  <ds:schemaRefs/>
</ds:datastoreItem>
</file>

<file path=customXml/itemProps16.xml><?xml version="1.0" encoding="utf-8"?>
<ds:datastoreItem xmlns:ds="http://schemas.openxmlformats.org/officeDocument/2006/customXml" ds:itemID="{E2B7C5E6-BDF6-40B5-A04B-B6ED190EB909}">
  <ds:schemaRefs/>
</ds:datastoreItem>
</file>

<file path=customXml/itemProps17.xml><?xml version="1.0" encoding="utf-8"?>
<ds:datastoreItem xmlns:ds="http://schemas.openxmlformats.org/officeDocument/2006/customXml" ds:itemID="{07E5987C-B979-445A-B4DC-FFE7AC612BEF}">
  <ds:schemaRefs/>
</ds:datastoreItem>
</file>

<file path=customXml/itemProps18.xml><?xml version="1.0" encoding="utf-8"?>
<ds:datastoreItem xmlns:ds="http://schemas.openxmlformats.org/officeDocument/2006/customXml" ds:itemID="{7B7D2FE1-6E2A-41BC-BC16-685E98601021}">
  <ds:schemaRefs/>
</ds:datastoreItem>
</file>

<file path=customXml/itemProps19.xml><?xml version="1.0" encoding="utf-8"?>
<ds:datastoreItem xmlns:ds="http://schemas.openxmlformats.org/officeDocument/2006/customXml" ds:itemID="{471188E4-A3A7-4884-8F22-C8AB89AFAA1F}">
  <ds:schemaRefs/>
</ds:datastoreItem>
</file>

<file path=customXml/itemProps20.xml><?xml version="1.0" encoding="utf-8"?>
<ds:datastoreItem xmlns:ds="http://schemas.openxmlformats.org/officeDocument/2006/customXml" ds:itemID="{91B54B97-1CA7-4158-A7A9-A4EF47F093ED}">
  <ds:schemaRefs/>
</ds:datastoreItem>
</file>

<file path=customXml/itemProps21.xml><?xml version="1.0" encoding="utf-8"?>
<ds:datastoreItem xmlns:ds="http://schemas.openxmlformats.org/officeDocument/2006/customXml" ds:itemID="{54A5F02E-B5CA-4CFF-AF98-150F676B82C9}">
  <ds:schemaRefs>
    <ds:schemaRef ds:uri="http://schemas.microsoft.com/DataMashup"/>
  </ds:schemaRefs>
</ds:datastoreItem>
</file>

<file path=customXml/itemProps22.xml><?xml version="1.0" encoding="utf-8"?>
<ds:datastoreItem xmlns:ds="http://schemas.openxmlformats.org/officeDocument/2006/customXml" ds:itemID="{E0B8D628-269E-4740-9B85-A7BC4DE129E8}">
  <ds:schemaRefs/>
</ds:datastoreItem>
</file>

<file path=customXml/itemProps23.xml><?xml version="1.0" encoding="utf-8"?>
<ds:datastoreItem xmlns:ds="http://schemas.openxmlformats.org/officeDocument/2006/customXml" ds:itemID="{FB6B7809-DA91-43B1-885E-53EDBC91BA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PTables</vt:lpstr>
      <vt:lpstr>Data (Cleaned)</vt:lpstr>
      <vt:lpstr>Data (Base)</vt:lpstr>
      <vt:lpstr>DataRange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James Carpenter</cp:lastModifiedBy>
  <dcterms:created xsi:type="dcterms:W3CDTF">2022-03-18T02:50:57Z</dcterms:created>
  <dcterms:modified xsi:type="dcterms:W3CDTF">2024-12-04T17:17:32Z</dcterms:modified>
</cp:coreProperties>
</file>